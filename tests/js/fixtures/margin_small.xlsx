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마진계산기 메뉴얼" sheetId="1" state="visible" r:id="rId1"/>
    <sheet name="1. 상품 &amp; 캠페인 매핑" sheetId="2" state="visible" r:id="rId2"/>
    <sheet name="2. 일별 광고 실적 입력" sheetId="3" state="visible" r:id="rId3"/>
    <sheet name="3. 일별 매출 실적 입력" sheetId="4" state="visible" r:id="rId4"/>
    <sheet name="4. 광고 장부확인" sheetId="5" state="visible" r:id="rId5"/>
    <sheet name="5. 사입 관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"/>
  <sheetViews>
    <sheetView workbookViewId="0">
      <selection activeCell="A1" sqref="A1"/>
    </sheetView>
  </sheetViews>
  <sheetFormatPr baseColWidth="8" defaultRowHeight="15"/>
  <sheetData>
    <row r="2">
      <c r="B2" t="inlineStr">
        <is>
          <t>신규 상품 추가 시 최초 1회 해당 시트에 직접 기입 (옵션·캠페인·상품명)</t>
        </is>
      </c>
    </row>
    <row r="4">
      <c r="B4" t="inlineStr">
        <is>
          <t>상품명</t>
        </is>
      </c>
      <c r="C4" t="inlineStr">
        <is>
          <t>옵션 ID</t>
        </is>
      </c>
      <c r="D4" t="inlineStr">
        <is>
          <t>광고 캠페인</t>
        </is>
      </c>
      <c r="E4" t="inlineStr">
        <is>
          <t>옵션마진</t>
        </is>
      </c>
    </row>
    <row r="5">
      <c r="B5" t="inlineStr">
        <is>
          <t>옵션 하나, 파랑</t>
        </is>
      </c>
      <c r="C5" t="n">
        <v>93606119506</v>
      </c>
      <c r="D5" t="inlineStr">
        <is>
          <t>1. 타이머_236%</t>
        </is>
      </c>
      <c r="E5" t="n">
        <v>4571</v>
      </c>
    </row>
    <row r="6">
      <c r="B6" t="inlineStr">
        <is>
          <t>옵션 둘</t>
        </is>
      </c>
      <c r="C6" t="n">
        <v>93656717722</v>
      </c>
      <c r="D6" t="inlineStr">
        <is>
          <t>2. 발매트_213%</t>
        </is>
      </c>
      <c r="E6" t="n">
        <v>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7"/>
  <sheetViews>
    <sheetView workbookViewId="0">
      <selection activeCell="A1" sqref="A1"/>
    </sheetView>
  </sheetViews>
  <sheetFormatPr baseColWidth="8" defaultRowHeight="15"/>
  <sheetData>
    <row r="2">
      <c r="B2" t="inlineStr">
        <is>
          <t>광고센터 데이터</t>
        </is>
      </c>
    </row>
    <row r="5">
      <c r="B5" t="inlineStr">
        <is>
          <t>캠페인 이름</t>
        </is>
      </c>
      <c r="C5" t="inlineStr">
        <is>
          <t>날짜</t>
        </is>
      </c>
      <c r="D5" t="inlineStr">
        <is>
          <t>목표효율</t>
        </is>
      </c>
      <c r="E5" t="inlineStr">
        <is>
          <t>광고예산</t>
        </is>
      </c>
      <c r="F5" t="inlineStr">
        <is>
          <t>집행
광고비</t>
        </is>
      </c>
      <c r="G5" t="inlineStr">
        <is>
          <t>광고전환
매출</t>
        </is>
      </c>
      <c r="H5" t="inlineStr">
        <is>
          <t>전환율</t>
        </is>
      </c>
      <c r="I5" t="inlineStr">
        <is>
          <t>클릭률</t>
        </is>
      </c>
      <c r="J5" t="inlineStr">
        <is>
          <t>노출수</t>
        </is>
      </c>
      <c r="K5" t="inlineStr">
        <is>
          <t>클릭수</t>
        </is>
      </c>
      <c r="L5" t="inlineStr">
        <is>
          <t>광고전환 판매수</t>
        </is>
      </c>
      <c r="M5" t="inlineStr">
        <is>
          <t>집행 광고비*10%</t>
        </is>
      </c>
      <c r="N5" t="inlineStr">
        <is>
          <t>광고 수익률</t>
        </is>
      </c>
      <c r="O5" t="inlineStr">
        <is>
          <t>광고비 소진율</t>
        </is>
      </c>
      <c r="P5" t="inlineStr">
        <is>
          <t>CPC</t>
        </is>
      </c>
      <c r="Q5" t="inlineStr">
        <is>
          <t>ACTION</t>
        </is>
      </c>
    </row>
    <row r="6">
      <c r="B6" t="inlineStr">
        <is>
          <t>1. 타이머_236%</t>
        </is>
      </c>
      <c r="C6" s="1" t="n">
        <v>46266</v>
      </c>
      <c r="D6" t="n">
        <v>4</v>
      </c>
      <c r="E6" t="n">
        <v>10000</v>
      </c>
      <c r="F6" t="n">
        <v>5000</v>
      </c>
      <c r="G6" t="n">
        <v>20000</v>
      </c>
      <c r="H6" t="n">
        <v>0.05</v>
      </c>
      <c r="I6" t="n">
        <v>0.01</v>
      </c>
      <c r="J6" t="n">
        <v>1000</v>
      </c>
      <c r="K6" t="n">
        <v>10</v>
      </c>
      <c r="L6" t="n">
        <v>2</v>
      </c>
      <c r="M6">
        <f>F6*1.1</f>
        <v/>
      </c>
      <c r="N6">
        <f>IFERROR(G6/F6,0)</f>
        <v/>
      </c>
      <c r="O6">
        <f>IFERROR(F6/E6,0)</f>
        <v/>
      </c>
      <c r="P6">
        <f>IFERROR(F6/K6,0)</f>
        <v/>
      </c>
    </row>
    <row r="7">
      <c r="B7" t="inlineStr">
        <is>
          <t>2. 발매트_213%</t>
        </is>
      </c>
      <c r="C7" s="1" t="n">
        <v>46266</v>
      </c>
      <c r="D7" t="n">
        <v>4</v>
      </c>
      <c r="E7" t="n">
        <v>10000</v>
      </c>
      <c r="F7" t="n">
        <v>5000</v>
      </c>
      <c r="G7" t="n">
        <v>20000</v>
      </c>
      <c r="H7" t="n">
        <v>0.05</v>
      </c>
      <c r="I7" t="n">
        <v>0.01</v>
      </c>
      <c r="J7" t="n">
        <v>1000</v>
      </c>
      <c r="K7" t="n">
        <v>10</v>
      </c>
      <c r="L7" t="n">
        <v>2</v>
      </c>
      <c r="M7">
        <f>F7*1.1</f>
        <v/>
      </c>
      <c r="N7">
        <f>IFERROR(G7/F7,0)</f>
        <v/>
      </c>
      <c r="O7">
        <f>IFERROR(F7/E7,0)</f>
        <v/>
      </c>
      <c r="P7">
        <f>IFERROR(F7/K7,0)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6"/>
  <sheetViews>
    <sheetView workbookViewId="0">
      <selection activeCell="A1" sqref="A1"/>
    </sheetView>
  </sheetViews>
  <sheetFormatPr baseColWidth="8" defaultRowHeight="15"/>
  <sheetData>
    <row r="2">
      <c r="B2" t="inlineStr">
        <is>
          <t>판매통계 붙여넣기</t>
        </is>
      </c>
    </row>
    <row r="5">
      <c r="B5" t="inlineStr">
        <is>
          <t>날짜</t>
        </is>
      </c>
      <c r="C5" t="inlineStr">
        <is>
          <t>옵션ID</t>
        </is>
      </c>
      <c r="D5" t="inlineStr">
        <is>
          <t>옵션명</t>
        </is>
      </c>
      <c r="E5" t="inlineStr">
        <is>
          <t>상품명</t>
        </is>
      </c>
      <c r="F5" t="inlineStr">
        <is>
          <t>등록상품ID</t>
        </is>
      </c>
      <c r="G5" t="inlineStr">
        <is>
          <t>카테고리</t>
        </is>
      </c>
      <c r="H5" t="inlineStr">
        <is>
          <t>판매방식</t>
        </is>
      </c>
      <c r="I5" t="inlineStr">
        <is>
          <t>매출</t>
        </is>
      </c>
      <c r="J5" t="inlineStr">
        <is>
          <t>주문</t>
        </is>
      </c>
      <c r="K5" t="inlineStr">
        <is>
          <t>판매량</t>
        </is>
      </c>
      <c r="L5" t="inlineStr">
        <is>
          <t>방문자</t>
        </is>
      </c>
      <c r="M5" t="inlineStr">
        <is>
          <t>조회</t>
        </is>
      </c>
      <c r="N5" t="inlineStr">
        <is>
          <t>장바구니</t>
        </is>
      </c>
      <c r="O5" t="inlineStr">
        <is>
          <t>구매전환율</t>
        </is>
      </c>
      <c r="P5" t="inlineStr">
        <is>
          <t>순 판매 상품 수</t>
        </is>
      </c>
      <c r="Q5" t="inlineStr">
        <is>
          <t>광고 매칭</t>
        </is>
      </c>
      <c r="R5" t="inlineStr">
        <is>
          <t>마진</t>
        </is>
      </c>
    </row>
    <row r="6">
      <c r="B6" s="1" t="n">
        <v>46266</v>
      </c>
      <c r="C6" t="n">
        <v>93606119506</v>
      </c>
      <c r="D6" t="inlineStr">
        <is>
          <t>옵션 하나, 파랑</t>
        </is>
      </c>
      <c r="E6" t="inlineStr">
        <is>
          <t>상품 하나</t>
        </is>
      </c>
      <c r="F6" t="n">
        <v>15767114108</v>
      </c>
      <c r="G6" t="inlineStr">
        <is>
          <t>주방용품</t>
        </is>
      </c>
      <c r="H6" t="inlineStr">
        <is>
          <t>로켓그로스</t>
        </is>
      </c>
      <c r="I6" t="n">
        <v>9900</v>
      </c>
      <c r="J6" t="n">
        <v>1</v>
      </c>
      <c r="K6" t="n">
        <v>1</v>
      </c>
      <c r="L6" t="n">
        <v>6</v>
      </c>
      <c r="M6" t="n">
        <v>9</v>
      </c>
      <c r="N6" t="n">
        <v>1</v>
      </c>
      <c r="O6" t="n">
        <v>0.1111</v>
      </c>
      <c r="P6">
        <f>K6*1</f>
        <v/>
      </c>
      <c r="Q6">
        <f>IFERROR(VLOOKUP(C6,'1. 상품 &amp; 캠페인 매핑'!$C$4:$E$1048576,2,FALSE),"")</f>
        <v/>
      </c>
      <c r="R6">
        <f>IFERROR(VLOOKUP(C6,'1. 상품 &amp; 캠페인 매핑'!$C$4:$E$1048576,3,FALSE)*P6,0)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캠페인 이름만 기입하면 자동 계산 됩니다.</t>
        </is>
      </c>
    </row>
    <row r="3">
      <c r="C3" s="1" t="n">
        <v>46266</v>
      </c>
      <c r="D3" s="1" t="n">
        <v>46267</v>
      </c>
      <c r="E3" s="1" t="n">
        <v>46268</v>
      </c>
      <c r="F3" s="1" t="n">
        <v>46269</v>
      </c>
      <c r="G3" s="1" t="n">
        <v>46270</v>
      </c>
      <c r="H3" s="1" t="n">
        <v>46271</v>
      </c>
      <c r="I3" s="1" t="n">
        <v>46272</v>
      </c>
      <c r="J3" s="1" t="n">
        <v>46273</v>
      </c>
      <c r="K3" s="1" t="n">
        <v>46274</v>
      </c>
      <c r="L3" s="1" t="n">
        <v>46275</v>
      </c>
      <c r="M3" s="1" t="n">
        <v>46276</v>
      </c>
      <c r="N3" s="1" t="n">
        <v>46277</v>
      </c>
      <c r="O3" s="1" t="n">
        <v>46278</v>
      </c>
      <c r="P3" s="1" t="n">
        <v>46279</v>
      </c>
      <c r="Q3" s="1" t="n">
        <v>46280</v>
      </c>
      <c r="R3" s="1" t="n">
        <v>46281</v>
      </c>
      <c r="S3" s="1" t="n">
        <v>46282</v>
      </c>
      <c r="T3" s="1" t="n">
        <v>46283</v>
      </c>
      <c r="U3" s="1" t="n">
        <v>46284</v>
      </c>
      <c r="V3" s="1" t="n">
        <v>46285</v>
      </c>
      <c r="W3" s="1" t="n">
        <v>46286</v>
      </c>
      <c r="X3" s="1" t="n">
        <v>46287</v>
      </c>
      <c r="Y3" s="1" t="n">
        <v>46288</v>
      </c>
      <c r="Z3" s="1" t="n">
        <v>46289</v>
      </c>
      <c r="AA3" s="1" t="n">
        <v>46290</v>
      </c>
      <c r="AB3" s="1" t="n">
        <v>46291</v>
      </c>
      <c r="AC3" s="1" t="n">
        <v>46292</v>
      </c>
      <c r="AD3" s="1" t="n">
        <v>46293</v>
      </c>
      <c r="AE3" s="1" t="n">
        <v>46294</v>
      </c>
      <c r="AF3" s="1" t="n">
        <v>46295</v>
      </c>
      <c r="AG3" t="inlineStr">
        <is>
          <t>9월 합계</t>
        </is>
      </c>
    </row>
    <row r="4">
      <c r="B4" t="inlineStr">
        <is>
          <t>전체 순이익 (광고비제외)</t>
        </is>
      </c>
      <c r="C4">
        <f>SUMIF($B:$B,$B$17,C:C)</f>
        <v/>
      </c>
      <c r="D4">
        <f>SUMIF($B:$B,$B$17,D:D)</f>
        <v/>
      </c>
      <c r="E4">
        <f>SUMIF($B:$B,$B$17,E:E)</f>
        <v/>
      </c>
      <c r="F4">
        <f>SUMIF($B:$B,$B$17,F:F)</f>
        <v/>
      </c>
      <c r="G4">
        <f>SUMIF($B:$B,$B$17,G:G)</f>
        <v/>
      </c>
      <c r="H4">
        <f>SUMIF($B:$B,$B$17,H:H)</f>
        <v/>
      </c>
      <c r="I4">
        <f>SUMIF($B:$B,$B$17,I:I)</f>
        <v/>
      </c>
      <c r="J4">
        <f>SUMIF($B:$B,$B$17,J:J)</f>
        <v/>
      </c>
      <c r="K4">
        <f>SUMIF($B:$B,$B$17,K:K)</f>
        <v/>
      </c>
      <c r="L4">
        <f>SUMIF($B:$B,$B$17,L:L)</f>
        <v/>
      </c>
      <c r="M4">
        <f>SUMIF($B:$B,$B$17,M:M)</f>
        <v/>
      </c>
      <c r="N4">
        <f>SUMIF($B:$B,$B$17,N:N)</f>
        <v/>
      </c>
      <c r="O4">
        <f>SUMIF($B:$B,$B$17,O:O)</f>
        <v/>
      </c>
      <c r="P4">
        <f>SUMIF($B:$B,$B$17,P:P)</f>
        <v/>
      </c>
      <c r="Q4">
        <f>SUMIF($B:$B,$B$17,Q:Q)</f>
        <v/>
      </c>
      <c r="R4">
        <f>SUMIF($B:$B,$B$17,R:R)</f>
        <v/>
      </c>
      <c r="S4">
        <f>SUMIF($B:$B,$B$17,S:S)</f>
        <v/>
      </c>
      <c r="T4">
        <f>SUMIF($B:$B,$B$17,T:T)</f>
        <v/>
      </c>
      <c r="U4">
        <f>SUMIF($B:$B,$B$17,U:U)</f>
        <v/>
      </c>
      <c r="V4">
        <f>SUMIF($B:$B,$B$17,V:V)</f>
        <v/>
      </c>
      <c r="W4">
        <f>SUMIF($B:$B,$B$17,W:W)</f>
        <v/>
      </c>
      <c r="X4">
        <f>SUMIF($B:$B,$B$17,X:X)</f>
        <v/>
      </c>
      <c r="Y4">
        <f>SUMIF($B:$B,$B$17,Y:Y)</f>
        <v/>
      </c>
      <c r="Z4">
        <f>SUMIF($B:$B,$B$17,Z:Z)</f>
        <v/>
      </c>
      <c r="AA4">
        <f>SUMIF($B:$B,$B$17,AA:AA)</f>
        <v/>
      </c>
      <c r="AB4">
        <f>SUMIF($B:$B,$B$17,AB:AB)</f>
        <v/>
      </c>
      <c r="AC4">
        <f>SUMIF($B:$B,$B$17,AC:AC)</f>
        <v/>
      </c>
      <c r="AD4">
        <f>SUMIF($B:$B,$B$17,AD:AD)</f>
        <v/>
      </c>
      <c r="AE4">
        <f>SUMIF($B:$B,$B$17,AE:AE)</f>
        <v/>
      </c>
      <c r="AF4">
        <f>SUMIF($B:$B,$B$17,AF:AF)</f>
        <v/>
      </c>
    </row>
    <row r="5">
      <c r="A5" t="inlineStr">
        <is>
          <t>1. 타이머_236%</t>
        </is>
      </c>
      <c r="B5" t="inlineStr">
        <is>
          <t>목표효율</t>
        </is>
      </c>
      <c r="C5">
        <f>SUMIFS('2. 일별 광고 실적 입력'!$D:$D,'2. 일별 광고 실적 입력'!$C:$C,'4. 광고 장부확인'!C$3,'2. 일별 광고 실적 입력'!$B:$B,'4. 광고 장부확인'!$A5)</f>
        <v/>
      </c>
      <c r="D5">
        <f>SUMIFS('2. 일별 광고 실적 입력'!$D:$D,'2. 일별 광고 실적 입력'!$C:$C,'4. 광고 장부확인'!D$3,'2. 일별 광고 실적 입력'!$B:$B,'4. 광고 장부확인'!$A5)</f>
        <v/>
      </c>
      <c r="E5">
        <f>SUMIFS('2. 일별 광고 실적 입력'!$D:$D,'2. 일별 광고 실적 입력'!$C:$C,'4. 광고 장부확인'!E$3,'2. 일별 광고 실적 입력'!$B:$B,'4. 광고 장부확인'!$A5)</f>
        <v/>
      </c>
      <c r="F5">
        <f>SUMIFS('2. 일별 광고 실적 입력'!$D:$D,'2. 일별 광고 실적 입력'!$C:$C,'4. 광고 장부확인'!F$3,'2. 일별 광고 실적 입력'!$B:$B,'4. 광고 장부확인'!$A5)</f>
        <v/>
      </c>
      <c r="G5">
        <f>SUMIFS('2. 일별 광고 실적 입력'!$D:$D,'2. 일별 광고 실적 입력'!$C:$C,'4. 광고 장부확인'!G$3,'2. 일별 광고 실적 입력'!$B:$B,'4. 광고 장부확인'!$A5)</f>
        <v/>
      </c>
      <c r="H5">
        <f>SUMIFS('2. 일별 광고 실적 입력'!$D:$D,'2. 일별 광고 실적 입력'!$C:$C,'4. 광고 장부확인'!H$3,'2. 일별 광고 실적 입력'!$B:$B,'4. 광고 장부확인'!$A5)</f>
        <v/>
      </c>
      <c r="I5">
        <f>SUMIFS('2. 일별 광고 실적 입력'!$D:$D,'2. 일별 광고 실적 입력'!$C:$C,'4. 광고 장부확인'!I$3,'2. 일별 광고 실적 입력'!$B:$B,'4. 광고 장부확인'!$A5)</f>
        <v/>
      </c>
      <c r="J5">
        <f>SUMIFS('2. 일별 광고 실적 입력'!$D:$D,'2. 일별 광고 실적 입력'!$C:$C,'4. 광고 장부확인'!J$3,'2. 일별 광고 실적 입력'!$B:$B,'4. 광고 장부확인'!$A5)</f>
        <v/>
      </c>
      <c r="K5">
        <f>SUMIFS('2. 일별 광고 실적 입력'!$D:$D,'2. 일별 광고 실적 입력'!$C:$C,'4. 광고 장부확인'!K$3,'2. 일별 광고 실적 입력'!$B:$B,'4. 광고 장부확인'!$A5)</f>
        <v/>
      </c>
      <c r="L5">
        <f>SUMIFS('2. 일별 광고 실적 입력'!$D:$D,'2. 일별 광고 실적 입력'!$C:$C,'4. 광고 장부확인'!L$3,'2. 일별 광고 실적 입력'!$B:$B,'4. 광고 장부확인'!$A5)</f>
        <v/>
      </c>
      <c r="M5">
        <f>SUMIFS('2. 일별 광고 실적 입력'!$D:$D,'2. 일별 광고 실적 입력'!$C:$C,'4. 광고 장부확인'!M$3,'2. 일별 광고 실적 입력'!$B:$B,'4. 광고 장부확인'!$A5)</f>
        <v/>
      </c>
      <c r="N5">
        <f>SUMIFS('2. 일별 광고 실적 입력'!$D:$D,'2. 일별 광고 실적 입력'!$C:$C,'4. 광고 장부확인'!N$3,'2. 일별 광고 실적 입력'!$B:$B,'4. 광고 장부확인'!$A5)</f>
        <v/>
      </c>
      <c r="O5">
        <f>SUMIFS('2. 일별 광고 실적 입력'!$D:$D,'2. 일별 광고 실적 입력'!$C:$C,'4. 광고 장부확인'!O$3,'2. 일별 광고 실적 입력'!$B:$B,'4. 광고 장부확인'!$A5)</f>
        <v/>
      </c>
      <c r="P5">
        <f>SUMIFS('2. 일별 광고 실적 입력'!$D:$D,'2. 일별 광고 실적 입력'!$C:$C,'4. 광고 장부확인'!P$3,'2. 일별 광고 실적 입력'!$B:$B,'4. 광고 장부확인'!$A5)</f>
        <v/>
      </c>
      <c r="Q5">
        <f>SUMIFS('2. 일별 광고 실적 입력'!$D:$D,'2. 일별 광고 실적 입력'!$C:$C,'4. 광고 장부확인'!Q$3,'2. 일별 광고 실적 입력'!$B:$B,'4. 광고 장부확인'!$A5)</f>
        <v/>
      </c>
      <c r="R5">
        <f>SUMIFS('2. 일별 광고 실적 입력'!$D:$D,'2. 일별 광고 실적 입력'!$C:$C,'4. 광고 장부확인'!R$3,'2. 일별 광고 실적 입력'!$B:$B,'4. 광고 장부확인'!$A5)</f>
        <v/>
      </c>
      <c r="S5">
        <f>SUMIFS('2. 일별 광고 실적 입력'!$D:$D,'2. 일별 광고 실적 입력'!$C:$C,'4. 광고 장부확인'!S$3,'2. 일별 광고 실적 입력'!$B:$B,'4. 광고 장부확인'!$A5)</f>
        <v/>
      </c>
      <c r="T5">
        <f>SUMIFS('2. 일별 광고 실적 입력'!$D:$D,'2. 일별 광고 실적 입력'!$C:$C,'4. 광고 장부확인'!T$3,'2. 일별 광고 실적 입력'!$B:$B,'4. 광고 장부확인'!$A5)</f>
        <v/>
      </c>
      <c r="U5">
        <f>SUMIFS('2. 일별 광고 실적 입력'!$D:$D,'2. 일별 광고 실적 입력'!$C:$C,'4. 광고 장부확인'!U$3,'2. 일별 광고 실적 입력'!$B:$B,'4. 광고 장부확인'!$A5)</f>
        <v/>
      </c>
      <c r="V5">
        <f>SUMIFS('2. 일별 광고 실적 입력'!$D:$D,'2. 일별 광고 실적 입력'!$C:$C,'4. 광고 장부확인'!V$3,'2. 일별 광고 실적 입력'!$B:$B,'4. 광고 장부확인'!$A5)</f>
        <v/>
      </c>
      <c r="W5">
        <f>SUMIFS('2. 일별 광고 실적 입력'!$D:$D,'2. 일별 광고 실적 입력'!$C:$C,'4. 광고 장부확인'!W$3,'2. 일별 광고 실적 입력'!$B:$B,'4. 광고 장부확인'!$A5)</f>
        <v/>
      </c>
      <c r="X5">
        <f>SUMIFS('2. 일별 광고 실적 입력'!$D:$D,'2. 일별 광고 실적 입력'!$C:$C,'4. 광고 장부확인'!X$3,'2. 일별 광고 실적 입력'!$B:$B,'4. 광고 장부확인'!$A5)</f>
        <v/>
      </c>
      <c r="Y5">
        <f>SUMIFS('2. 일별 광고 실적 입력'!$D:$D,'2. 일별 광고 실적 입력'!$C:$C,'4. 광고 장부확인'!Y$3,'2. 일별 광고 실적 입력'!$B:$B,'4. 광고 장부확인'!$A5)</f>
        <v/>
      </c>
      <c r="Z5">
        <f>SUMIFS('2. 일별 광고 실적 입력'!$D:$D,'2. 일별 광고 실적 입력'!$C:$C,'4. 광고 장부확인'!Z$3,'2. 일별 광고 실적 입력'!$B:$B,'4. 광고 장부확인'!$A5)</f>
        <v/>
      </c>
      <c r="AA5">
        <f>SUMIFS('2. 일별 광고 실적 입력'!$D:$D,'2. 일별 광고 실적 입력'!$C:$C,'4. 광고 장부확인'!AA$3,'2. 일별 광고 실적 입력'!$B:$B,'4. 광고 장부확인'!$A5)</f>
        <v/>
      </c>
      <c r="AB5">
        <f>SUMIFS('2. 일별 광고 실적 입력'!$D:$D,'2. 일별 광고 실적 입력'!$C:$C,'4. 광고 장부확인'!AB$3,'2. 일별 광고 실적 입력'!$B:$B,'4. 광고 장부확인'!$A5)</f>
        <v/>
      </c>
      <c r="AC5">
        <f>SUMIFS('2. 일별 광고 실적 입력'!$D:$D,'2. 일별 광고 실적 입력'!$C:$C,'4. 광고 장부확인'!AC$3,'2. 일별 광고 실적 입력'!$B:$B,'4. 광고 장부확인'!$A5)</f>
        <v/>
      </c>
      <c r="AD5">
        <f>SUMIFS('2. 일별 광고 실적 입력'!$D:$D,'2. 일별 광고 실적 입력'!$C:$C,'4. 광고 장부확인'!AD$3,'2. 일별 광고 실적 입력'!$B:$B,'4. 광고 장부확인'!$A5)</f>
        <v/>
      </c>
      <c r="AE5">
        <f>SUMIFS('2. 일별 광고 실적 입력'!$D:$D,'2. 일별 광고 실적 입력'!$C:$C,'4. 광고 장부확인'!AE$3,'2. 일별 광고 실적 입력'!$B:$B,'4. 광고 장부확인'!$A5)</f>
        <v/>
      </c>
      <c r="AF5">
        <f>SUMIFS('2. 일별 광고 실적 입력'!$D:$D,'2. 일별 광고 실적 입력'!$C:$C,'4. 광고 장부확인'!AF$3,'2. 일별 광고 실적 입력'!$B:$B,'4. 광고 장부확인'!$A5)</f>
        <v/>
      </c>
      <c r="AG5">
        <f>SUM(C5:AF5)</f>
        <v/>
      </c>
    </row>
    <row r="6">
      <c r="B6" t="inlineStr">
        <is>
          <t>광고수익률</t>
        </is>
      </c>
      <c r="C6">
        <f>SUMIFS('2. 일별 광고 실적 입력'!$N:$N,'2. 일별 광고 실적 입력'!$C:$C,'4. 광고 장부확인'!C$3,'2. 일별 광고 실적 입력'!$B:$B,'4. 광고 장부확인'!$A5)</f>
        <v/>
      </c>
      <c r="D6">
        <f>SUMIFS('2. 일별 광고 실적 입력'!$N:$N,'2. 일별 광고 실적 입력'!$C:$C,'4. 광고 장부확인'!D$3,'2. 일별 광고 실적 입력'!$B:$B,'4. 광고 장부확인'!$A5)</f>
        <v/>
      </c>
      <c r="E6">
        <f>SUMIFS('2. 일별 광고 실적 입력'!$N:$N,'2. 일별 광고 실적 입력'!$C:$C,'4. 광고 장부확인'!E$3,'2. 일별 광고 실적 입력'!$B:$B,'4. 광고 장부확인'!$A5)</f>
        <v/>
      </c>
      <c r="F6">
        <f>SUMIFS('2. 일별 광고 실적 입력'!$N:$N,'2. 일별 광고 실적 입력'!$C:$C,'4. 광고 장부확인'!F$3,'2. 일별 광고 실적 입력'!$B:$B,'4. 광고 장부확인'!$A5)</f>
        <v/>
      </c>
      <c r="G6">
        <f>SUMIFS('2. 일별 광고 실적 입력'!$N:$N,'2. 일별 광고 실적 입력'!$C:$C,'4. 광고 장부확인'!G$3,'2. 일별 광고 실적 입력'!$B:$B,'4. 광고 장부확인'!$A5)</f>
        <v/>
      </c>
      <c r="H6">
        <f>SUMIFS('2. 일별 광고 실적 입력'!$N:$N,'2. 일별 광고 실적 입력'!$C:$C,'4. 광고 장부확인'!H$3,'2. 일별 광고 실적 입력'!$B:$B,'4. 광고 장부확인'!$A5)</f>
        <v/>
      </c>
      <c r="I6">
        <f>SUMIFS('2. 일별 광고 실적 입력'!$N:$N,'2. 일별 광고 실적 입력'!$C:$C,'4. 광고 장부확인'!I$3,'2. 일별 광고 실적 입력'!$B:$B,'4. 광고 장부확인'!$A5)</f>
        <v/>
      </c>
      <c r="J6">
        <f>SUMIFS('2. 일별 광고 실적 입력'!$N:$N,'2. 일별 광고 실적 입력'!$C:$C,'4. 광고 장부확인'!J$3,'2. 일별 광고 실적 입력'!$B:$B,'4. 광고 장부확인'!$A5)</f>
        <v/>
      </c>
      <c r="K6">
        <f>SUMIFS('2. 일별 광고 실적 입력'!$N:$N,'2. 일별 광고 실적 입력'!$C:$C,'4. 광고 장부확인'!K$3,'2. 일별 광고 실적 입력'!$B:$B,'4. 광고 장부확인'!$A5)</f>
        <v/>
      </c>
      <c r="L6">
        <f>SUMIFS('2. 일별 광고 실적 입력'!$N:$N,'2. 일별 광고 실적 입력'!$C:$C,'4. 광고 장부확인'!L$3,'2. 일별 광고 실적 입력'!$B:$B,'4. 광고 장부확인'!$A5)</f>
        <v/>
      </c>
      <c r="M6">
        <f>SUMIFS('2. 일별 광고 실적 입력'!$N:$N,'2. 일별 광고 실적 입력'!$C:$C,'4. 광고 장부확인'!M$3,'2. 일별 광고 실적 입력'!$B:$B,'4. 광고 장부확인'!$A5)</f>
        <v/>
      </c>
      <c r="N6">
        <f>SUMIFS('2. 일별 광고 실적 입력'!$N:$N,'2. 일별 광고 실적 입력'!$C:$C,'4. 광고 장부확인'!N$3,'2. 일별 광고 실적 입력'!$B:$B,'4. 광고 장부확인'!$A5)</f>
        <v/>
      </c>
      <c r="O6">
        <f>SUMIFS('2. 일별 광고 실적 입력'!$N:$N,'2. 일별 광고 실적 입력'!$C:$C,'4. 광고 장부확인'!O$3,'2. 일별 광고 실적 입력'!$B:$B,'4. 광고 장부확인'!$A5)</f>
        <v/>
      </c>
      <c r="P6">
        <f>SUMIFS('2. 일별 광고 실적 입력'!$N:$N,'2. 일별 광고 실적 입력'!$C:$C,'4. 광고 장부확인'!P$3,'2. 일별 광고 실적 입력'!$B:$B,'4. 광고 장부확인'!$A5)</f>
        <v/>
      </c>
      <c r="Q6">
        <f>SUMIFS('2. 일별 광고 실적 입력'!$N:$N,'2. 일별 광고 실적 입력'!$C:$C,'4. 광고 장부확인'!Q$3,'2. 일별 광고 실적 입력'!$B:$B,'4. 광고 장부확인'!$A5)</f>
        <v/>
      </c>
      <c r="R6">
        <f>SUMIFS('2. 일별 광고 실적 입력'!$N:$N,'2. 일별 광고 실적 입력'!$C:$C,'4. 광고 장부확인'!R$3,'2. 일별 광고 실적 입력'!$B:$B,'4. 광고 장부확인'!$A5)</f>
        <v/>
      </c>
      <c r="S6">
        <f>SUMIFS('2. 일별 광고 실적 입력'!$N:$N,'2. 일별 광고 실적 입력'!$C:$C,'4. 광고 장부확인'!S$3,'2. 일별 광고 실적 입력'!$B:$B,'4. 광고 장부확인'!$A5)</f>
        <v/>
      </c>
      <c r="T6">
        <f>SUMIFS('2. 일별 광고 실적 입력'!$N:$N,'2. 일별 광고 실적 입력'!$C:$C,'4. 광고 장부확인'!T$3,'2. 일별 광고 실적 입력'!$B:$B,'4. 광고 장부확인'!$A5)</f>
        <v/>
      </c>
      <c r="U6">
        <f>SUMIFS('2. 일별 광고 실적 입력'!$N:$N,'2. 일별 광고 실적 입력'!$C:$C,'4. 광고 장부확인'!U$3,'2. 일별 광고 실적 입력'!$B:$B,'4. 광고 장부확인'!$A5)</f>
        <v/>
      </c>
      <c r="V6">
        <f>SUMIFS('2. 일별 광고 실적 입력'!$N:$N,'2. 일별 광고 실적 입력'!$C:$C,'4. 광고 장부확인'!V$3,'2. 일별 광고 실적 입력'!$B:$B,'4. 광고 장부확인'!$A5)</f>
        <v/>
      </c>
      <c r="W6">
        <f>SUMIFS('2. 일별 광고 실적 입력'!$N:$N,'2. 일별 광고 실적 입력'!$C:$C,'4. 광고 장부확인'!W$3,'2. 일별 광고 실적 입력'!$B:$B,'4. 광고 장부확인'!$A5)</f>
        <v/>
      </c>
      <c r="X6">
        <f>SUMIFS('2. 일별 광고 실적 입력'!$N:$N,'2. 일별 광고 실적 입력'!$C:$C,'4. 광고 장부확인'!X$3,'2. 일별 광고 실적 입력'!$B:$B,'4. 광고 장부확인'!$A5)</f>
        <v/>
      </c>
      <c r="Y6">
        <f>SUMIFS('2. 일별 광고 실적 입력'!$N:$N,'2. 일별 광고 실적 입력'!$C:$C,'4. 광고 장부확인'!Y$3,'2. 일별 광고 실적 입력'!$B:$B,'4. 광고 장부확인'!$A5)</f>
        <v/>
      </c>
      <c r="Z6">
        <f>SUMIFS('2. 일별 광고 실적 입력'!$N:$N,'2. 일별 광고 실적 입력'!$C:$C,'4. 광고 장부확인'!Z$3,'2. 일별 광고 실적 입력'!$B:$B,'4. 광고 장부확인'!$A5)</f>
        <v/>
      </c>
      <c r="AA6">
        <f>SUMIFS('2. 일별 광고 실적 입력'!$N:$N,'2. 일별 광고 실적 입력'!$C:$C,'4. 광고 장부확인'!AA$3,'2. 일별 광고 실적 입력'!$B:$B,'4. 광고 장부확인'!$A5)</f>
        <v/>
      </c>
      <c r="AB6">
        <f>SUMIFS('2. 일별 광고 실적 입력'!$N:$N,'2. 일별 광고 실적 입력'!$C:$C,'4. 광고 장부확인'!AB$3,'2. 일별 광고 실적 입력'!$B:$B,'4. 광고 장부확인'!$A5)</f>
        <v/>
      </c>
      <c r="AC6">
        <f>SUMIFS('2. 일별 광고 실적 입력'!$N:$N,'2. 일별 광고 실적 입력'!$C:$C,'4. 광고 장부확인'!AC$3,'2. 일별 광고 실적 입력'!$B:$B,'4. 광고 장부확인'!$A5)</f>
        <v/>
      </c>
      <c r="AD6">
        <f>SUMIFS('2. 일별 광고 실적 입력'!$N:$N,'2. 일별 광고 실적 입력'!$C:$C,'4. 광고 장부확인'!AD$3,'2. 일별 광고 실적 입력'!$B:$B,'4. 광고 장부확인'!$A5)</f>
        <v/>
      </c>
      <c r="AE6">
        <f>SUMIFS('2. 일별 광고 실적 입력'!$N:$N,'2. 일별 광고 실적 입력'!$C:$C,'4. 광고 장부확인'!AE$3,'2. 일별 광고 실적 입력'!$B:$B,'4. 광고 장부확인'!$A5)</f>
        <v/>
      </c>
      <c r="AF6">
        <f>SUMIFS('2. 일별 광고 실적 입력'!$N:$N,'2. 일별 광고 실적 입력'!$C:$C,'4. 광고 장부확인'!AF$3,'2. 일별 광고 실적 입력'!$B:$B,'4. 광고 장부확인'!$A5)</f>
        <v/>
      </c>
      <c r="AG6">
        <f>SUM(C6:AF6)</f>
        <v/>
      </c>
    </row>
    <row r="7">
      <c r="B7" t="inlineStr">
        <is>
          <t>광고예산</t>
        </is>
      </c>
      <c r="C7">
        <f>SUMIFS('2. 일별 광고 실적 입력'!$E:$E,'2. 일별 광고 실적 입력'!$C:$C,'4. 광고 장부확인'!C$3,'2. 일별 광고 실적 입력'!$B:$B,'4. 광고 장부확인'!$A5)</f>
        <v/>
      </c>
      <c r="D7">
        <f>SUMIFS('2. 일별 광고 실적 입력'!$E:$E,'2. 일별 광고 실적 입력'!$C:$C,'4. 광고 장부확인'!D$3,'2. 일별 광고 실적 입력'!$B:$B,'4. 광고 장부확인'!$A5)</f>
        <v/>
      </c>
      <c r="E7">
        <f>SUMIFS('2. 일별 광고 실적 입력'!$E:$E,'2. 일별 광고 실적 입력'!$C:$C,'4. 광고 장부확인'!E$3,'2. 일별 광고 실적 입력'!$B:$B,'4. 광고 장부확인'!$A5)</f>
        <v/>
      </c>
      <c r="F7">
        <f>SUMIFS('2. 일별 광고 실적 입력'!$E:$E,'2. 일별 광고 실적 입력'!$C:$C,'4. 광고 장부확인'!F$3,'2. 일별 광고 실적 입력'!$B:$B,'4. 광고 장부확인'!$A5)</f>
        <v/>
      </c>
      <c r="G7">
        <f>SUMIFS('2. 일별 광고 실적 입력'!$E:$E,'2. 일별 광고 실적 입력'!$C:$C,'4. 광고 장부확인'!G$3,'2. 일별 광고 실적 입력'!$B:$B,'4. 광고 장부확인'!$A5)</f>
        <v/>
      </c>
      <c r="H7">
        <f>SUMIFS('2. 일별 광고 실적 입력'!$E:$E,'2. 일별 광고 실적 입력'!$C:$C,'4. 광고 장부확인'!H$3,'2. 일별 광고 실적 입력'!$B:$B,'4. 광고 장부확인'!$A5)</f>
        <v/>
      </c>
      <c r="I7">
        <f>SUMIFS('2. 일별 광고 실적 입력'!$E:$E,'2. 일별 광고 실적 입력'!$C:$C,'4. 광고 장부확인'!I$3,'2. 일별 광고 실적 입력'!$B:$B,'4. 광고 장부확인'!$A5)</f>
        <v/>
      </c>
      <c r="J7">
        <f>SUMIFS('2. 일별 광고 실적 입력'!$E:$E,'2. 일별 광고 실적 입력'!$C:$C,'4. 광고 장부확인'!J$3,'2. 일별 광고 실적 입력'!$B:$B,'4. 광고 장부확인'!$A5)</f>
        <v/>
      </c>
      <c r="K7">
        <f>SUMIFS('2. 일별 광고 실적 입력'!$E:$E,'2. 일별 광고 실적 입력'!$C:$C,'4. 광고 장부확인'!K$3,'2. 일별 광고 실적 입력'!$B:$B,'4. 광고 장부확인'!$A5)</f>
        <v/>
      </c>
      <c r="L7">
        <f>SUMIFS('2. 일별 광고 실적 입력'!$E:$E,'2. 일별 광고 실적 입력'!$C:$C,'4. 광고 장부확인'!L$3,'2. 일별 광고 실적 입력'!$B:$B,'4. 광고 장부확인'!$A5)</f>
        <v/>
      </c>
      <c r="M7">
        <f>SUMIFS('2. 일별 광고 실적 입력'!$E:$E,'2. 일별 광고 실적 입력'!$C:$C,'4. 광고 장부확인'!M$3,'2. 일별 광고 실적 입력'!$B:$B,'4. 광고 장부확인'!$A5)</f>
        <v/>
      </c>
      <c r="N7">
        <f>SUMIFS('2. 일별 광고 실적 입력'!$E:$E,'2. 일별 광고 실적 입력'!$C:$C,'4. 광고 장부확인'!N$3,'2. 일별 광고 실적 입력'!$B:$B,'4. 광고 장부확인'!$A5)</f>
        <v/>
      </c>
      <c r="O7">
        <f>SUMIFS('2. 일별 광고 실적 입력'!$E:$E,'2. 일별 광고 실적 입력'!$C:$C,'4. 광고 장부확인'!O$3,'2. 일별 광고 실적 입력'!$B:$B,'4. 광고 장부확인'!$A5)</f>
        <v/>
      </c>
      <c r="P7">
        <f>SUMIFS('2. 일별 광고 실적 입력'!$E:$E,'2. 일별 광고 실적 입력'!$C:$C,'4. 광고 장부확인'!P$3,'2. 일별 광고 실적 입력'!$B:$B,'4. 광고 장부확인'!$A5)</f>
        <v/>
      </c>
      <c r="Q7">
        <f>SUMIFS('2. 일별 광고 실적 입력'!$E:$E,'2. 일별 광고 실적 입력'!$C:$C,'4. 광고 장부확인'!Q$3,'2. 일별 광고 실적 입력'!$B:$B,'4. 광고 장부확인'!$A5)</f>
        <v/>
      </c>
      <c r="R7">
        <f>SUMIFS('2. 일별 광고 실적 입력'!$E:$E,'2. 일별 광고 실적 입력'!$C:$C,'4. 광고 장부확인'!R$3,'2. 일별 광고 실적 입력'!$B:$B,'4. 광고 장부확인'!$A5)</f>
        <v/>
      </c>
      <c r="S7">
        <f>SUMIFS('2. 일별 광고 실적 입력'!$E:$E,'2. 일별 광고 실적 입력'!$C:$C,'4. 광고 장부확인'!S$3,'2. 일별 광고 실적 입력'!$B:$B,'4. 광고 장부확인'!$A5)</f>
        <v/>
      </c>
      <c r="T7">
        <f>SUMIFS('2. 일별 광고 실적 입력'!$E:$E,'2. 일별 광고 실적 입력'!$C:$C,'4. 광고 장부확인'!T$3,'2. 일별 광고 실적 입력'!$B:$B,'4. 광고 장부확인'!$A5)</f>
        <v/>
      </c>
      <c r="U7">
        <f>SUMIFS('2. 일별 광고 실적 입력'!$E:$E,'2. 일별 광고 실적 입력'!$C:$C,'4. 광고 장부확인'!U$3,'2. 일별 광고 실적 입력'!$B:$B,'4. 광고 장부확인'!$A5)</f>
        <v/>
      </c>
      <c r="V7">
        <f>SUMIFS('2. 일별 광고 실적 입력'!$E:$E,'2. 일별 광고 실적 입력'!$C:$C,'4. 광고 장부확인'!V$3,'2. 일별 광고 실적 입력'!$B:$B,'4. 광고 장부확인'!$A5)</f>
        <v/>
      </c>
      <c r="W7">
        <f>SUMIFS('2. 일별 광고 실적 입력'!$E:$E,'2. 일별 광고 실적 입력'!$C:$C,'4. 광고 장부확인'!W$3,'2. 일별 광고 실적 입력'!$B:$B,'4. 광고 장부확인'!$A5)</f>
        <v/>
      </c>
      <c r="X7">
        <f>SUMIFS('2. 일별 광고 실적 입력'!$E:$E,'2. 일별 광고 실적 입력'!$C:$C,'4. 광고 장부확인'!X$3,'2. 일별 광고 실적 입력'!$B:$B,'4. 광고 장부확인'!$A5)</f>
        <v/>
      </c>
      <c r="Y7">
        <f>SUMIFS('2. 일별 광고 실적 입력'!$E:$E,'2. 일별 광고 실적 입력'!$C:$C,'4. 광고 장부확인'!Y$3,'2. 일별 광고 실적 입력'!$B:$B,'4. 광고 장부확인'!$A5)</f>
        <v/>
      </c>
      <c r="Z7">
        <f>SUMIFS('2. 일별 광고 실적 입력'!$E:$E,'2. 일별 광고 실적 입력'!$C:$C,'4. 광고 장부확인'!Z$3,'2. 일별 광고 실적 입력'!$B:$B,'4. 광고 장부확인'!$A5)</f>
        <v/>
      </c>
      <c r="AA7">
        <f>SUMIFS('2. 일별 광고 실적 입력'!$E:$E,'2. 일별 광고 실적 입력'!$C:$C,'4. 광고 장부확인'!AA$3,'2. 일별 광고 실적 입력'!$B:$B,'4. 광고 장부확인'!$A5)</f>
        <v/>
      </c>
      <c r="AB7">
        <f>SUMIFS('2. 일별 광고 실적 입력'!$E:$E,'2. 일별 광고 실적 입력'!$C:$C,'4. 광고 장부확인'!AB$3,'2. 일별 광고 실적 입력'!$B:$B,'4. 광고 장부확인'!$A5)</f>
        <v/>
      </c>
      <c r="AC7">
        <f>SUMIFS('2. 일별 광고 실적 입력'!$E:$E,'2. 일별 광고 실적 입력'!$C:$C,'4. 광고 장부확인'!AC$3,'2. 일별 광고 실적 입력'!$B:$B,'4. 광고 장부확인'!$A5)</f>
        <v/>
      </c>
      <c r="AD7">
        <f>SUMIFS('2. 일별 광고 실적 입력'!$E:$E,'2. 일별 광고 실적 입력'!$C:$C,'4. 광고 장부확인'!AD$3,'2. 일별 광고 실적 입력'!$B:$B,'4. 광고 장부확인'!$A5)</f>
        <v/>
      </c>
      <c r="AE7">
        <f>SUMIFS('2. 일별 광고 실적 입력'!$E:$E,'2. 일별 광고 실적 입력'!$C:$C,'4. 광고 장부확인'!AE$3,'2. 일별 광고 실적 입력'!$B:$B,'4. 광고 장부확인'!$A5)</f>
        <v/>
      </c>
      <c r="AF7">
        <f>SUMIFS('2. 일별 광고 실적 입력'!$E:$E,'2. 일별 광고 실적 입력'!$C:$C,'4. 광고 장부확인'!AF$3,'2. 일별 광고 실적 입력'!$B:$B,'4. 광고 장부확인'!$A5)</f>
        <v/>
      </c>
      <c r="AG7">
        <f>SUM(C7:AF7)</f>
        <v/>
      </c>
    </row>
    <row r="8">
      <c r="B8" t="inlineStr">
        <is>
          <t>집행 광고비*10%</t>
        </is>
      </c>
      <c r="C8">
        <f>SUMIFS('2. 일별 광고 실적 입력'!$M:$M,'2. 일별 광고 실적 입력'!$C:$C,'4. 광고 장부확인'!C$3,'2. 일별 광고 실적 입력'!$B:$B,'4. 광고 장부확인'!$A5)</f>
        <v/>
      </c>
      <c r="D8">
        <f>SUMIFS('2. 일별 광고 실적 입력'!$M:$M,'2. 일별 광고 실적 입력'!$C:$C,'4. 광고 장부확인'!D$3,'2. 일별 광고 실적 입력'!$B:$B,'4. 광고 장부확인'!$A5)</f>
        <v/>
      </c>
      <c r="E8">
        <f>SUMIFS('2. 일별 광고 실적 입력'!$M:$M,'2. 일별 광고 실적 입력'!$C:$C,'4. 광고 장부확인'!E$3,'2. 일별 광고 실적 입력'!$B:$B,'4. 광고 장부확인'!$A5)</f>
        <v/>
      </c>
      <c r="F8">
        <f>SUMIFS('2. 일별 광고 실적 입력'!$M:$M,'2. 일별 광고 실적 입력'!$C:$C,'4. 광고 장부확인'!F$3,'2. 일별 광고 실적 입력'!$B:$B,'4. 광고 장부확인'!$A5)</f>
        <v/>
      </c>
      <c r="G8">
        <f>SUMIFS('2. 일별 광고 실적 입력'!$M:$M,'2. 일별 광고 실적 입력'!$C:$C,'4. 광고 장부확인'!G$3,'2. 일별 광고 실적 입력'!$B:$B,'4. 광고 장부확인'!$A5)</f>
        <v/>
      </c>
      <c r="H8">
        <f>SUMIFS('2. 일별 광고 실적 입력'!$M:$M,'2. 일별 광고 실적 입력'!$C:$C,'4. 광고 장부확인'!H$3,'2. 일별 광고 실적 입력'!$B:$B,'4. 광고 장부확인'!$A5)</f>
        <v/>
      </c>
      <c r="I8">
        <f>SUMIFS('2. 일별 광고 실적 입력'!$M:$M,'2. 일별 광고 실적 입력'!$C:$C,'4. 광고 장부확인'!I$3,'2. 일별 광고 실적 입력'!$B:$B,'4. 광고 장부확인'!$A5)</f>
        <v/>
      </c>
      <c r="J8">
        <f>SUMIFS('2. 일별 광고 실적 입력'!$M:$M,'2. 일별 광고 실적 입력'!$C:$C,'4. 광고 장부확인'!J$3,'2. 일별 광고 실적 입력'!$B:$B,'4. 광고 장부확인'!$A5)</f>
        <v/>
      </c>
      <c r="K8">
        <f>SUMIFS('2. 일별 광고 실적 입력'!$M:$M,'2. 일별 광고 실적 입력'!$C:$C,'4. 광고 장부확인'!K$3,'2. 일별 광고 실적 입력'!$B:$B,'4. 광고 장부확인'!$A5)</f>
        <v/>
      </c>
      <c r="L8">
        <f>SUMIFS('2. 일별 광고 실적 입력'!$M:$M,'2. 일별 광고 실적 입력'!$C:$C,'4. 광고 장부확인'!L$3,'2. 일별 광고 실적 입력'!$B:$B,'4. 광고 장부확인'!$A5)</f>
        <v/>
      </c>
      <c r="M8">
        <f>SUMIFS('2. 일별 광고 실적 입력'!$M:$M,'2. 일별 광고 실적 입력'!$C:$C,'4. 광고 장부확인'!M$3,'2. 일별 광고 실적 입력'!$B:$B,'4. 광고 장부확인'!$A5)</f>
        <v/>
      </c>
      <c r="N8">
        <f>SUMIFS('2. 일별 광고 실적 입력'!$M:$M,'2. 일별 광고 실적 입력'!$C:$C,'4. 광고 장부확인'!N$3,'2. 일별 광고 실적 입력'!$B:$B,'4. 광고 장부확인'!$A5)</f>
        <v/>
      </c>
      <c r="O8">
        <f>SUMIFS('2. 일별 광고 실적 입력'!$M:$M,'2. 일별 광고 실적 입력'!$C:$C,'4. 광고 장부확인'!O$3,'2. 일별 광고 실적 입력'!$B:$B,'4. 광고 장부확인'!$A5)</f>
        <v/>
      </c>
      <c r="P8">
        <f>SUMIFS('2. 일별 광고 실적 입력'!$M:$M,'2. 일별 광고 실적 입력'!$C:$C,'4. 광고 장부확인'!P$3,'2. 일별 광고 실적 입력'!$B:$B,'4. 광고 장부확인'!$A5)</f>
        <v/>
      </c>
      <c r="Q8">
        <f>SUMIFS('2. 일별 광고 실적 입력'!$M:$M,'2. 일별 광고 실적 입력'!$C:$C,'4. 광고 장부확인'!Q$3,'2. 일별 광고 실적 입력'!$B:$B,'4. 광고 장부확인'!$A5)</f>
        <v/>
      </c>
      <c r="R8">
        <f>SUMIFS('2. 일별 광고 실적 입력'!$M:$M,'2. 일별 광고 실적 입력'!$C:$C,'4. 광고 장부확인'!R$3,'2. 일별 광고 실적 입력'!$B:$B,'4. 광고 장부확인'!$A5)</f>
        <v/>
      </c>
      <c r="S8">
        <f>SUMIFS('2. 일별 광고 실적 입력'!$M:$M,'2. 일별 광고 실적 입력'!$C:$C,'4. 광고 장부확인'!S$3,'2. 일별 광고 실적 입력'!$B:$B,'4. 광고 장부확인'!$A5)</f>
        <v/>
      </c>
      <c r="T8">
        <f>SUMIFS('2. 일별 광고 실적 입력'!$M:$M,'2. 일별 광고 실적 입력'!$C:$C,'4. 광고 장부확인'!T$3,'2. 일별 광고 실적 입력'!$B:$B,'4. 광고 장부확인'!$A5)</f>
        <v/>
      </c>
      <c r="U8">
        <f>SUMIFS('2. 일별 광고 실적 입력'!$M:$M,'2. 일별 광고 실적 입력'!$C:$C,'4. 광고 장부확인'!U$3,'2. 일별 광고 실적 입력'!$B:$B,'4. 광고 장부확인'!$A5)</f>
        <v/>
      </c>
      <c r="V8">
        <f>SUMIFS('2. 일별 광고 실적 입력'!$M:$M,'2. 일별 광고 실적 입력'!$C:$C,'4. 광고 장부확인'!V$3,'2. 일별 광고 실적 입력'!$B:$B,'4. 광고 장부확인'!$A5)</f>
        <v/>
      </c>
      <c r="W8">
        <f>SUMIFS('2. 일별 광고 실적 입력'!$M:$M,'2. 일별 광고 실적 입력'!$C:$C,'4. 광고 장부확인'!W$3,'2. 일별 광고 실적 입력'!$B:$B,'4. 광고 장부확인'!$A5)</f>
        <v/>
      </c>
      <c r="X8">
        <f>SUMIFS('2. 일별 광고 실적 입력'!$M:$M,'2. 일별 광고 실적 입력'!$C:$C,'4. 광고 장부확인'!X$3,'2. 일별 광고 실적 입력'!$B:$B,'4. 광고 장부확인'!$A5)</f>
        <v/>
      </c>
      <c r="Y8">
        <f>SUMIFS('2. 일별 광고 실적 입력'!$M:$M,'2. 일별 광고 실적 입력'!$C:$C,'4. 광고 장부확인'!Y$3,'2. 일별 광고 실적 입력'!$B:$B,'4. 광고 장부확인'!$A5)</f>
        <v/>
      </c>
      <c r="Z8">
        <f>SUMIFS('2. 일별 광고 실적 입력'!$M:$M,'2. 일별 광고 실적 입력'!$C:$C,'4. 광고 장부확인'!Z$3,'2. 일별 광고 실적 입력'!$B:$B,'4. 광고 장부확인'!$A5)</f>
        <v/>
      </c>
      <c r="AA8">
        <f>SUMIFS('2. 일별 광고 실적 입력'!$M:$M,'2. 일별 광고 실적 입력'!$C:$C,'4. 광고 장부확인'!AA$3,'2. 일별 광고 실적 입력'!$B:$B,'4. 광고 장부확인'!$A5)</f>
        <v/>
      </c>
      <c r="AB8">
        <f>SUMIFS('2. 일별 광고 실적 입력'!$M:$M,'2. 일별 광고 실적 입력'!$C:$C,'4. 광고 장부확인'!AB$3,'2. 일별 광고 실적 입력'!$B:$B,'4. 광고 장부확인'!$A5)</f>
        <v/>
      </c>
      <c r="AC8">
        <f>SUMIFS('2. 일별 광고 실적 입력'!$M:$M,'2. 일별 광고 실적 입력'!$C:$C,'4. 광고 장부확인'!AC$3,'2. 일별 광고 실적 입력'!$B:$B,'4. 광고 장부확인'!$A5)</f>
        <v/>
      </c>
      <c r="AD8">
        <f>SUMIFS('2. 일별 광고 실적 입력'!$M:$M,'2. 일별 광고 실적 입력'!$C:$C,'4. 광고 장부확인'!AD$3,'2. 일별 광고 실적 입력'!$B:$B,'4. 광고 장부확인'!$A5)</f>
        <v/>
      </c>
      <c r="AE8">
        <f>SUMIFS('2. 일별 광고 실적 입력'!$M:$M,'2. 일별 광고 실적 입력'!$C:$C,'4. 광고 장부확인'!AE$3,'2. 일별 광고 실적 입력'!$B:$B,'4. 광고 장부확인'!$A5)</f>
        <v/>
      </c>
      <c r="AF8">
        <f>SUMIFS('2. 일별 광고 실적 입력'!$M:$M,'2. 일별 광고 실적 입력'!$C:$C,'4. 광고 장부확인'!AF$3,'2. 일별 광고 실적 입력'!$B:$B,'4. 광고 장부확인'!$A5)</f>
        <v/>
      </c>
      <c r="AG8">
        <f>SUM(C8:AF8)</f>
        <v/>
      </c>
    </row>
    <row r="9">
      <c r="B9" t="inlineStr">
        <is>
          <t>CPC 단가</t>
        </is>
      </c>
      <c r="C9">
        <f>SUMIFS('2. 일별 광고 실적 입력'!$P:$P,'2. 일별 광고 실적 입력'!$C:$C,'4. 광고 장부확인'!C$3,'2. 일별 광고 실적 입력'!$B:$B,'4. 광고 장부확인'!$A5)</f>
        <v/>
      </c>
      <c r="D9">
        <f>SUMIFS('2. 일별 광고 실적 입력'!$P:$P,'2. 일별 광고 실적 입력'!$C:$C,'4. 광고 장부확인'!D$3,'2. 일별 광고 실적 입력'!$B:$B,'4. 광고 장부확인'!$A5)</f>
        <v/>
      </c>
      <c r="E9">
        <f>SUMIFS('2. 일별 광고 실적 입력'!$P:$P,'2. 일별 광고 실적 입력'!$C:$C,'4. 광고 장부확인'!E$3,'2. 일별 광고 실적 입력'!$B:$B,'4. 광고 장부확인'!$A5)</f>
        <v/>
      </c>
      <c r="F9">
        <f>SUMIFS('2. 일별 광고 실적 입력'!$P:$P,'2. 일별 광고 실적 입력'!$C:$C,'4. 광고 장부확인'!F$3,'2. 일별 광고 실적 입력'!$B:$B,'4. 광고 장부확인'!$A5)</f>
        <v/>
      </c>
      <c r="G9">
        <f>SUMIFS('2. 일별 광고 실적 입력'!$P:$P,'2. 일별 광고 실적 입력'!$C:$C,'4. 광고 장부확인'!G$3,'2. 일별 광고 실적 입력'!$B:$B,'4. 광고 장부확인'!$A5)</f>
        <v/>
      </c>
      <c r="H9">
        <f>SUMIFS('2. 일별 광고 실적 입력'!$P:$P,'2. 일별 광고 실적 입력'!$C:$C,'4. 광고 장부확인'!H$3,'2. 일별 광고 실적 입력'!$B:$B,'4. 광고 장부확인'!$A5)</f>
        <v/>
      </c>
      <c r="I9">
        <f>SUMIFS('2. 일별 광고 실적 입력'!$P:$P,'2. 일별 광고 실적 입력'!$C:$C,'4. 광고 장부확인'!I$3,'2. 일별 광고 실적 입력'!$B:$B,'4. 광고 장부확인'!$A5)</f>
        <v/>
      </c>
      <c r="J9">
        <f>SUMIFS('2. 일별 광고 실적 입력'!$P:$P,'2. 일별 광고 실적 입력'!$C:$C,'4. 광고 장부확인'!J$3,'2. 일별 광고 실적 입력'!$B:$B,'4. 광고 장부확인'!$A5)</f>
        <v/>
      </c>
      <c r="K9">
        <f>SUMIFS('2. 일별 광고 실적 입력'!$P:$P,'2. 일별 광고 실적 입력'!$C:$C,'4. 광고 장부확인'!K$3,'2. 일별 광고 실적 입력'!$B:$B,'4. 광고 장부확인'!$A5)</f>
        <v/>
      </c>
      <c r="L9">
        <f>SUMIFS('2. 일별 광고 실적 입력'!$P:$P,'2. 일별 광고 실적 입력'!$C:$C,'4. 광고 장부확인'!L$3,'2. 일별 광고 실적 입력'!$B:$B,'4. 광고 장부확인'!$A5)</f>
        <v/>
      </c>
      <c r="M9">
        <f>SUMIFS('2. 일별 광고 실적 입력'!$P:$P,'2. 일별 광고 실적 입력'!$C:$C,'4. 광고 장부확인'!M$3,'2. 일별 광고 실적 입력'!$B:$B,'4. 광고 장부확인'!$A5)</f>
        <v/>
      </c>
      <c r="N9">
        <f>SUMIFS('2. 일별 광고 실적 입력'!$P:$P,'2. 일별 광고 실적 입력'!$C:$C,'4. 광고 장부확인'!N$3,'2. 일별 광고 실적 입력'!$B:$B,'4. 광고 장부확인'!$A5)</f>
        <v/>
      </c>
      <c r="O9">
        <f>SUMIFS('2. 일별 광고 실적 입력'!$P:$P,'2. 일별 광고 실적 입력'!$C:$C,'4. 광고 장부확인'!O$3,'2. 일별 광고 실적 입력'!$B:$B,'4. 광고 장부확인'!$A5)</f>
        <v/>
      </c>
      <c r="P9">
        <f>SUMIFS('2. 일별 광고 실적 입력'!$P:$P,'2. 일별 광고 실적 입력'!$C:$C,'4. 광고 장부확인'!P$3,'2. 일별 광고 실적 입력'!$B:$B,'4. 광고 장부확인'!$A5)</f>
        <v/>
      </c>
      <c r="Q9">
        <f>SUMIFS('2. 일별 광고 실적 입력'!$P:$P,'2. 일별 광고 실적 입력'!$C:$C,'4. 광고 장부확인'!Q$3,'2. 일별 광고 실적 입력'!$B:$B,'4. 광고 장부확인'!$A5)</f>
        <v/>
      </c>
      <c r="R9">
        <f>SUMIFS('2. 일별 광고 실적 입력'!$P:$P,'2. 일별 광고 실적 입력'!$C:$C,'4. 광고 장부확인'!R$3,'2. 일별 광고 실적 입력'!$B:$B,'4. 광고 장부확인'!$A5)</f>
        <v/>
      </c>
      <c r="S9">
        <f>SUMIFS('2. 일별 광고 실적 입력'!$P:$P,'2. 일별 광고 실적 입력'!$C:$C,'4. 광고 장부확인'!S$3,'2. 일별 광고 실적 입력'!$B:$B,'4. 광고 장부확인'!$A5)</f>
        <v/>
      </c>
      <c r="T9">
        <f>SUMIFS('2. 일별 광고 실적 입력'!$P:$P,'2. 일별 광고 실적 입력'!$C:$C,'4. 광고 장부확인'!T$3,'2. 일별 광고 실적 입력'!$B:$B,'4. 광고 장부확인'!$A5)</f>
        <v/>
      </c>
      <c r="U9">
        <f>SUMIFS('2. 일별 광고 실적 입력'!$P:$P,'2. 일별 광고 실적 입력'!$C:$C,'4. 광고 장부확인'!U$3,'2. 일별 광고 실적 입력'!$B:$B,'4. 광고 장부확인'!$A5)</f>
        <v/>
      </c>
      <c r="V9">
        <f>SUMIFS('2. 일별 광고 실적 입력'!$P:$P,'2. 일별 광고 실적 입력'!$C:$C,'4. 광고 장부확인'!V$3,'2. 일별 광고 실적 입력'!$B:$B,'4. 광고 장부확인'!$A5)</f>
        <v/>
      </c>
      <c r="W9">
        <f>SUMIFS('2. 일별 광고 실적 입력'!$P:$P,'2. 일별 광고 실적 입력'!$C:$C,'4. 광고 장부확인'!W$3,'2. 일별 광고 실적 입력'!$B:$B,'4. 광고 장부확인'!$A5)</f>
        <v/>
      </c>
      <c r="X9">
        <f>SUMIFS('2. 일별 광고 실적 입력'!$P:$P,'2. 일별 광고 실적 입력'!$C:$C,'4. 광고 장부확인'!X$3,'2. 일별 광고 실적 입력'!$B:$B,'4. 광고 장부확인'!$A5)</f>
        <v/>
      </c>
      <c r="Y9">
        <f>SUMIFS('2. 일별 광고 실적 입력'!$P:$P,'2. 일별 광고 실적 입력'!$C:$C,'4. 광고 장부확인'!Y$3,'2. 일별 광고 실적 입력'!$B:$B,'4. 광고 장부확인'!$A5)</f>
        <v/>
      </c>
      <c r="Z9">
        <f>SUMIFS('2. 일별 광고 실적 입력'!$P:$P,'2. 일별 광고 실적 입력'!$C:$C,'4. 광고 장부확인'!Z$3,'2. 일별 광고 실적 입력'!$B:$B,'4. 광고 장부확인'!$A5)</f>
        <v/>
      </c>
      <c r="AA9">
        <f>SUMIFS('2. 일별 광고 실적 입력'!$P:$P,'2. 일별 광고 실적 입력'!$C:$C,'4. 광고 장부확인'!AA$3,'2. 일별 광고 실적 입력'!$B:$B,'4. 광고 장부확인'!$A5)</f>
        <v/>
      </c>
      <c r="AB9">
        <f>SUMIFS('2. 일별 광고 실적 입력'!$P:$P,'2. 일별 광고 실적 입력'!$C:$C,'4. 광고 장부확인'!AB$3,'2. 일별 광고 실적 입력'!$B:$B,'4. 광고 장부확인'!$A5)</f>
        <v/>
      </c>
      <c r="AC9">
        <f>SUMIFS('2. 일별 광고 실적 입력'!$P:$P,'2. 일별 광고 실적 입력'!$C:$C,'4. 광고 장부확인'!AC$3,'2. 일별 광고 실적 입력'!$B:$B,'4. 광고 장부확인'!$A5)</f>
        <v/>
      </c>
      <c r="AD9">
        <f>SUMIFS('2. 일별 광고 실적 입력'!$P:$P,'2. 일별 광고 실적 입력'!$C:$C,'4. 광고 장부확인'!AD$3,'2. 일별 광고 실적 입력'!$B:$B,'4. 광고 장부확인'!$A5)</f>
        <v/>
      </c>
      <c r="AE9">
        <f>SUMIFS('2. 일별 광고 실적 입력'!$P:$P,'2. 일별 광고 실적 입력'!$C:$C,'4. 광고 장부확인'!AE$3,'2. 일별 광고 실적 입력'!$B:$B,'4. 광고 장부확인'!$A5)</f>
        <v/>
      </c>
      <c r="AF9">
        <f>SUMIFS('2. 일별 광고 실적 입력'!$P:$P,'2. 일별 광고 실적 입력'!$C:$C,'4. 광고 장부확인'!AF$3,'2. 일별 광고 실적 입력'!$B:$B,'4. 광고 장부확인'!$A5)</f>
        <v/>
      </c>
      <c r="AG9">
        <f>SUM(C9:AF9)</f>
        <v/>
      </c>
    </row>
    <row r="10">
      <c r="B10" t="inlineStr">
        <is>
          <t>노출수</t>
        </is>
      </c>
      <c r="C10">
        <f>SUMIFS('2. 일별 광고 실적 입력'!$J:$J,'2. 일별 광고 실적 입력'!$C:$C,'4. 광고 장부확인'!C$3,'2. 일별 광고 실적 입력'!$B:$B,'4. 광고 장부확인'!$A5)</f>
        <v/>
      </c>
      <c r="D10">
        <f>SUMIFS('2. 일별 광고 실적 입력'!$J:$J,'2. 일별 광고 실적 입력'!$C:$C,'4. 광고 장부확인'!D$3,'2. 일별 광고 실적 입력'!$B:$B,'4. 광고 장부확인'!$A5)</f>
        <v/>
      </c>
      <c r="E10">
        <f>SUMIFS('2. 일별 광고 실적 입력'!$J:$J,'2. 일별 광고 실적 입력'!$C:$C,'4. 광고 장부확인'!E$3,'2. 일별 광고 실적 입력'!$B:$B,'4. 광고 장부확인'!$A5)</f>
        <v/>
      </c>
      <c r="F10">
        <f>SUMIFS('2. 일별 광고 실적 입력'!$J:$J,'2. 일별 광고 실적 입력'!$C:$C,'4. 광고 장부확인'!F$3,'2. 일별 광고 실적 입력'!$B:$B,'4. 광고 장부확인'!$A5)</f>
        <v/>
      </c>
      <c r="G10">
        <f>SUMIFS('2. 일별 광고 실적 입력'!$J:$J,'2. 일별 광고 실적 입력'!$C:$C,'4. 광고 장부확인'!G$3,'2. 일별 광고 실적 입력'!$B:$B,'4. 광고 장부확인'!$A5)</f>
        <v/>
      </c>
      <c r="H10">
        <f>SUMIFS('2. 일별 광고 실적 입력'!$J:$J,'2. 일별 광고 실적 입력'!$C:$C,'4. 광고 장부확인'!H$3,'2. 일별 광고 실적 입력'!$B:$B,'4. 광고 장부확인'!$A5)</f>
        <v/>
      </c>
      <c r="I10">
        <f>SUMIFS('2. 일별 광고 실적 입력'!$J:$J,'2. 일별 광고 실적 입력'!$C:$C,'4. 광고 장부확인'!I$3,'2. 일별 광고 실적 입력'!$B:$B,'4. 광고 장부확인'!$A5)</f>
        <v/>
      </c>
      <c r="J10">
        <f>SUMIFS('2. 일별 광고 실적 입력'!$J:$J,'2. 일별 광고 실적 입력'!$C:$C,'4. 광고 장부확인'!J$3,'2. 일별 광고 실적 입력'!$B:$B,'4. 광고 장부확인'!$A5)</f>
        <v/>
      </c>
      <c r="K10">
        <f>SUMIFS('2. 일별 광고 실적 입력'!$J:$J,'2. 일별 광고 실적 입력'!$C:$C,'4. 광고 장부확인'!K$3,'2. 일별 광고 실적 입력'!$B:$B,'4. 광고 장부확인'!$A5)</f>
        <v/>
      </c>
      <c r="L10">
        <f>SUMIFS('2. 일별 광고 실적 입력'!$J:$J,'2. 일별 광고 실적 입력'!$C:$C,'4. 광고 장부확인'!L$3,'2. 일별 광고 실적 입력'!$B:$B,'4. 광고 장부확인'!$A5)</f>
        <v/>
      </c>
      <c r="M10">
        <f>SUMIFS('2. 일별 광고 실적 입력'!$J:$J,'2. 일별 광고 실적 입력'!$C:$C,'4. 광고 장부확인'!M$3,'2. 일별 광고 실적 입력'!$B:$B,'4. 광고 장부확인'!$A5)</f>
        <v/>
      </c>
      <c r="N10">
        <f>SUMIFS('2. 일별 광고 실적 입력'!$J:$J,'2. 일별 광고 실적 입력'!$C:$C,'4. 광고 장부확인'!N$3,'2. 일별 광고 실적 입력'!$B:$B,'4. 광고 장부확인'!$A5)</f>
        <v/>
      </c>
      <c r="O10">
        <f>SUMIFS('2. 일별 광고 실적 입력'!$J:$J,'2. 일별 광고 실적 입력'!$C:$C,'4. 광고 장부확인'!O$3,'2. 일별 광고 실적 입력'!$B:$B,'4. 광고 장부확인'!$A5)</f>
        <v/>
      </c>
      <c r="P10">
        <f>SUMIFS('2. 일별 광고 실적 입력'!$J:$J,'2. 일별 광고 실적 입력'!$C:$C,'4. 광고 장부확인'!P$3,'2. 일별 광고 실적 입력'!$B:$B,'4. 광고 장부확인'!$A5)</f>
        <v/>
      </c>
      <c r="Q10">
        <f>SUMIFS('2. 일별 광고 실적 입력'!$J:$J,'2. 일별 광고 실적 입력'!$C:$C,'4. 광고 장부확인'!Q$3,'2. 일별 광고 실적 입력'!$B:$B,'4. 광고 장부확인'!$A5)</f>
        <v/>
      </c>
      <c r="R10">
        <f>SUMIFS('2. 일별 광고 실적 입력'!$J:$J,'2. 일별 광고 실적 입력'!$C:$C,'4. 광고 장부확인'!R$3,'2. 일별 광고 실적 입력'!$B:$B,'4. 광고 장부확인'!$A5)</f>
        <v/>
      </c>
      <c r="S10">
        <f>SUMIFS('2. 일별 광고 실적 입력'!$J:$J,'2. 일별 광고 실적 입력'!$C:$C,'4. 광고 장부확인'!S$3,'2. 일별 광고 실적 입력'!$B:$B,'4. 광고 장부확인'!$A5)</f>
        <v/>
      </c>
      <c r="T10">
        <f>SUMIFS('2. 일별 광고 실적 입력'!$J:$J,'2. 일별 광고 실적 입력'!$C:$C,'4. 광고 장부확인'!T$3,'2. 일별 광고 실적 입력'!$B:$B,'4. 광고 장부확인'!$A5)</f>
        <v/>
      </c>
      <c r="U10">
        <f>SUMIFS('2. 일별 광고 실적 입력'!$J:$J,'2. 일별 광고 실적 입력'!$C:$C,'4. 광고 장부확인'!U$3,'2. 일별 광고 실적 입력'!$B:$B,'4. 광고 장부확인'!$A5)</f>
        <v/>
      </c>
      <c r="V10">
        <f>SUMIFS('2. 일별 광고 실적 입력'!$J:$J,'2. 일별 광고 실적 입력'!$C:$C,'4. 광고 장부확인'!V$3,'2. 일별 광고 실적 입력'!$B:$B,'4. 광고 장부확인'!$A5)</f>
        <v/>
      </c>
      <c r="W10">
        <f>SUMIFS('2. 일별 광고 실적 입력'!$J:$J,'2. 일별 광고 실적 입력'!$C:$C,'4. 광고 장부확인'!W$3,'2. 일별 광고 실적 입력'!$B:$B,'4. 광고 장부확인'!$A5)</f>
        <v/>
      </c>
      <c r="X10">
        <f>SUMIFS('2. 일별 광고 실적 입력'!$J:$J,'2. 일별 광고 실적 입력'!$C:$C,'4. 광고 장부확인'!X$3,'2. 일별 광고 실적 입력'!$B:$B,'4. 광고 장부확인'!$A5)</f>
        <v/>
      </c>
      <c r="Y10">
        <f>SUMIFS('2. 일별 광고 실적 입력'!$J:$J,'2. 일별 광고 실적 입력'!$C:$C,'4. 광고 장부확인'!Y$3,'2. 일별 광고 실적 입력'!$B:$B,'4. 광고 장부확인'!$A5)</f>
        <v/>
      </c>
      <c r="Z10">
        <f>SUMIFS('2. 일별 광고 실적 입력'!$J:$J,'2. 일별 광고 실적 입력'!$C:$C,'4. 광고 장부확인'!Z$3,'2. 일별 광고 실적 입력'!$B:$B,'4. 광고 장부확인'!$A5)</f>
        <v/>
      </c>
      <c r="AA10">
        <f>SUMIFS('2. 일별 광고 실적 입력'!$J:$J,'2. 일별 광고 실적 입력'!$C:$C,'4. 광고 장부확인'!AA$3,'2. 일별 광고 실적 입력'!$B:$B,'4. 광고 장부확인'!$A5)</f>
        <v/>
      </c>
      <c r="AB10">
        <f>SUMIFS('2. 일별 광고 실적 입력'!$J:$J,'2. 일별 광고 실적 입력'!$C:$C,'4. 광고 장부확인'!AB$3,'2. 일별 광고 실적 입력'!$B:$B,'4. 광고 장부확인'!$A5)</f>
        <v/>
      </c>
      <c r="AC10">
        <f>SUMIFS('2. 일별 광고 실적 입력'!$J:$J,'2. 일별 광고 실적 입력'!$C:$C,'4. 광고 장부확인'!AC$3,'2. 일별 광고 실적 입력'!$B:$B,'4. 광고 장부확인'!$A5)</f>
        <v/>
      </c>
      <c r="AD10">
        <f>SUMIFS('2. 일별 광고 실적 입력'!$J:$J,'2. 일별 광고 실적 입력'!$C:$C,'4. 광고 장부확인'!AD$3,'2. 일별 광고 실적 입력'!$B:$B,'4. 광고 장부확인'!$A5)</f>
        <v/>
      </c>
      <c r="AE10">
        <f>SUMIFS('2. 일별 광고 실적 입력'!$J:$J,'2. 일별 광고 실적 입력'!$C:$C,'4. 광고 장부확인'!AE$3,'2. 일별 광고 실적 입력'!$B:$B,'4. 광고 장부확인'!$A5)</f>
        <v/>
      </c>
      <c r="AF10">
        <f>SUMIFS('2. 일별 광고 실적 입력'!$J:$J,'2. 일별 광고 실적 입력'!$C:$C,'4. 광고 장부확인'!AF$3,'2. 일별 광고 실적 입력'!$B:$B,'4. 광고 장부확인'!$A5)</f>
        <v/>
      </c>
      <c r="AG10">
        <f>SUM(C10:AF10)</f>
        <v/>
      </c>
    </row>
    <row r="11">
      <c r="B11" t="inlineStr">
        <is>
          <t>클릭률</t>
        </is>
      </c>
      <c r="C11">
        <f>SUMIFS('2. 일별 광고 실적 입력'!$I:$I,'2. 일별 광고 실적 입력'!$C:$C,'4. 광고 장부확인'!C$3,'2. 일별 광고 실적 입력'!$B:$B,'4. 광고 장부확인'!$A5)</f>
        <v/>
      </c>
      <c r="D11">
        <f>SUMIFS('2. 일별 광고 실적 입력'!$I:$I,'2. 일별 광고 실적 입력'!$C:$C,'4. 광고 장부확인'!D$3,'2. 일별 광고 실적 입력'!$B:$B,'4. 광고 장부확인'!$A5)</f>
        <v/>
      </c>
      <c r="E11">
        <f>SUMIFS('2. 일별 광고 실적 입력'!$I:$I,'2. 일별 광고 실적 입력'!$C:$C,'4. 광고 장부확인'!E$3,'2. 일별 광고 실적 입력'!$B:$B,'4. 광고 장부확인'!$A5)</f>
        <v/>
      </c>
      <c r="F11">
        <f>SUMIFS('2. 일별 광고 실적 입력'!$I:$I,'2. 일별 광고 실적 입력'!$C:$C,'4. 광고 장부확인'!F$3,'2. 일별 광고 실적 입력'!$B:$B,'4. 광고 장부확인'!$A5)</f>
        <v/>
      </c>
      <c r="G11">
        <f>SUMIFS('2. 일별 광고 실적 입력'!$I:$I,'2. 일별 광고 실적 입력'!$C:$C,'4. 광고 장부확인'!G$3,'2. 일별 광고 실적 입력'!$B:$B,'4. 광고 장부확인'!$A5)</f>
        <v/>
      </c>
      <c r="H11">
        <f>SUMIFS('2. 일별 광고 실적 입력'!$I:$I,'2. 일별 광고 실적 입력'!$C:$C,'4. 광고 장부확인'!H$3,'2. 일별 광고 실적 입력'!$B:$B,'4. 광고 장부확인'!$A5)</f>
        <v/>
      </c>
      <c r="I11">
        <f>SUMIFS('2. 일별 광고 실적 입력'!$I:$I,'2. 일별 광고 실적 입력'!$C:$C,'4. 광고 장부확인'!I$3,'2. 일별 광고 실적 입력'!$B:$B,'4. 광고 장부확인'!$A5)</f>
        <v/>
      </c>
      <c r="J11">
        <f>SUMIFS('2. 일별 광고 실적 입력'!$I:$I,'2. 일별 광고 실적 입력'!$C:$C,'4. 광고 장부확인'!J$3,'2. 일별 광고 실적 입력'!$B:$B,'4. 광고 장부확인'!$A5)</f>
        <v/>
      </c>
      <c r="K11">
        <f>SUMIFS('2. 일별 광고 실적 입력'!$I:$I,'2. 일별 광고 실적 입력'!$C:$C,'4. 광고 장부확인'!K$3,'2. 일별 광고 실적 입력'!$B:$B,'4. 광고 장부확인'!$A5)</f>
        <v/>
      </c>
      <c r="L11">
        <f>SUMIFS('2. 일별 광고 실적 입력'!$I:$I,'2. 일별 광고 실적 입력'!$C:$C,'4. 광고 장부확인'!L$3,'2. 일별 광고 실적 입력'!$B:$B,'4. 광고 장부확인'!$A5)</f>
        <v/>
      </c>
      <c r="M11">
        <f>SUMIFS('2. 일별 광고 실적 입력'!$I:$I,'2. 일별 광고 실적 입력'!$C:$C,'4. 광고 장부확인'!M$3,'2. 일별 광고 실적 입력'!$B:$B,'4. 광고 장부확인'!$A5)</f>
        <v/>
      </c>
      <c r="N11">
        <f>SUMIFS('2. 일별 광고 실적 입력'!$I:$I,'2. 일별 광고 실적 입력'!$C:$C,'4. 광고 장부확인'!N$3,'2. 일별 광고 실적 입력'!$B:$B,'4. 광고 장부확인'!$A5)</f>
        <v/>
      </c>
      <c r="O11">
        <f>SUMIFS('2. 일별 광고 실적 입력'!$I:$I,'2. 일별 광고 실적 입력'!$C:$C,'4. 광고 장부확인'!O$3,'2. 일별 광고 실적 입력'!$B:$B,'4. 광고 장부확인'!$A5)</f>
        <v/>
      </c>
      <c r="P11">
        <f>SUMIFS('2. 일별 광고 실적 입력'!$I:$I,'2. 일별 광고 실적 입력'!$C:$C,'4. 광고 장부확인'!P$3,'2. 일별 광고 실적 입력'!$B:$B,'4. 광고 장부확인'!$A5)</f>
        <v/>
      </c>
      <c r="Q11">
        <f>SUMIFS('2. 일별 광고 실적 입력'!$I:$I,'2. 일별 광고 실적 입력'!$C:$C,'4. 광고 장부확인'!Q$3,'2. 일별 광고 실적 입력'!$B:$B,'4. 광고 장부확인'!$A5)</f>
        <v/>
      </c>
      <c r="R11">
        <f>SUMIFS('2. 일별 광고 실적 입력'!$I:$I,'2. 일별 광고 실적 입력'!$C:$C,'4. 광고 장부확인'!R$3,'2. 일별 광고 실적 입력'!$B:$B,'4. 광고 장부확인'!$A5)</f>
        <v/>
      </c>
      <c r="S11">
        <f>SUMIFS('2. 일별 광고 실적 입력'!$I:$I,'2. 일별 광고 실적 입력'!$C:$C,'4. 광고 장부확인'!S$3,'2. 일별 광고 실적 입력'!$B:$B,'4. 광고 장부확인'!$A5)</f>
        <v/>
      </c>
      <c r="T11">
        <f>SUMIFS('2. 일별 광고 실적 입력'!$I:$I,'2. 일별 광고 실적 입력'!$C:$C,'4. 광고 장부확인'!T$3,'2. 일별 광고 실적 입력'!$B:$B,'4. 광고 장부확인'!$A5)</f>
        <v/>
      </c>
      <c r="U11">
        <f>SUMIFS('2. 일별 광고 실적 입력'!$I:$I,'2. 일별 광고 실적 입력'!$C:$C,'4. 광고 장부확인'!U$3,'2. 일별 광고 실적 입력'!$B:$B,'4. 광고 장부확인'!$A5)</f>
        <v/>
      </c>
      <c r="V11">
        <f>SUMIFS('2. 일별 광고 실적 입력'!$I:$I,'2. 일별 광고 실적 입력'!$C:$C,'4. 광고 장부확인'!V$3,'2. 일별 광고 실적 입력'!$B:$B,'4. 광고 장부확인'!$A5)</f>
        <v/>
      </c>
      <c r="W11">
        <f>SUMIFS('2. 일별 광고 실적 입력'!$I:$I,'2. 일별 광고 실적 입력'!$C:$C,'4. 광고 장부확인'!W$3,'2. 일별 광고 실적 입력'!$B:$B,'4. 광고 장부확인'!$A5)</f>
        <v/>
      </c>
      <c r="X11">
        <f>SUMIFS('2. 일별 광고 실적 입력'!$I:$I,'2. 일별 광고 실적 입력'!$C:$C,'4. 광고 장부확인'!X$3,'2. 일별 광고 실적 입력'!$B:$B,'4. 광고 장부확인'!$A5)</f>
        <v/>
      </c>
      <c r="Y11">
        <f>SUMIFS('2. 일별 광고 실적 입력'!$I:$I,'2. 일별 광고 실적 입력'!$C:$C,'4. 광고 장부확인'!Y$3,'2. 일별 광고 실적 입력'!$B:$B,'4. 광고 장부확인'!$A5)</f>
        <v/>
      </c>
      <c r="Z11">
        <f>SUMIFS('2. 일별 광고 실적 입력'!$I:$I,'2. 일별 광고 실적 입력'!$C:$C,'4. 광고 장부확인'!Z$3,'2. 일별 광고 실적 입력'!$B:$B,'4. 광고 장부확인'!$A5)</f>
        <v/>
      </c>
      <c r="AA11">
        <f>SUMIFS('2. 일별 광고 실적 입력'!$I:$I,'2. 일별 광고 실적 입력'!$C:$C,'4. 광고 장부확인'!AA$3,'2. 일별 광고 실적 입력'!$B:$B,'4. 광고 장부확인'!$A5)</f>
        <v/>
      </c>
      <c r="AB11">
        <f>SUMIFS('2. 일별 광고 실적 입력'!$I:$I,'2. 일별 광고 실적 입력'!$C:$C,'4. 광고 장부확인'!AB$3,'2. 일별 광고 실적 입력'!$B:$B,'4. 광고 장부확인'!$A5)</f>
        <v/>
      </c>
      <c r="AC11">
        <f>SUMIFS('2. 일별 광고 실적 입력'!$I:$I,'2. 일별 광고 실적 입력'!$C:$C,'4. 광고 장부확인'!AC$3,'2. 일별 광고 실적 입력'!$B:$B,'4. 광고 장부확인'!$A5)</f>
        <v/>
      </c>
      <c r="AD11">
        <f>SUMIFS('2. 일별 광고 실적 입력'!$I:$I,'2. 일별 광고 실적 입력'!$C:$C,'4. 광고 장부확인'!AD$3,'2. 일별 광고 실적 입력'!$B:$B,'4. 광고 장부확인'!$A5)</f>
        <v/>
      </c>
      <c r="AE11">
        <f>SUMIFS('2. 일별 광고 실적 입력'!$I:$I,'2. 일별 광고 실적 입력'!$C:$C,'4. 광고 장부확인'!AE$3,'2. 일별 광고 실적 입력'!$B:$B,'4. 광고 장부확인'!$A5)</f>
        <v/>
      </c>
      <c r="AF11">
        <f>SUMIFS('2. 일별 광고 실적 입력'!$I:$I,'2. 일별 광고 실적 입력'!$C:$C,'4. 광고 장부확인'!AF$3,'2. 일별 광고 실적 입력'!$B:$B,'4. 광고 장부확인'!$A5)</f>
        <v/>
      </c>
      <c r="AG11">
        <f>SUM(C11:AF11)</f>
        <v/>
      </c>
    </row>
    <row r="12">
      <c r="B12" t="inlineStr">
        <is>
          <t>전환율</t>
        </is>
      </c>
      <c r="C12">
        <f>SUMIFS('2. 일별 광고 실적 입력'!$H:$H,'2. 일별 광고 실적 입력'!$C:$C,'4. 광고 장부확인'!C$3,'2. 일별 광고 실적 입력'!$B:$B,'4. 광고 장부확인'!$A5)</f>
        <v/>
      </c>
      <c r="D12">
        <f>SUMIFS('2. 일별 광고 실적 입력'!$H:$H,'2. 일별 광고 실적 입력'!$C:$C,'4. 광고 장부확인'!D$3,'2. 일별 광고 실적 입력'!$B:$B,'4. 광고 장부확인'!$A5)</f>
        <v/>
      </c>
      <c r="E12">
        <f>SUMIFS('2. 일별 광고 실적 입력'!$H:$H,'2. 일별 광고 실적 입력'!$C:$C,'4. 광고 장부확인'!E$3,'2. 일별 광고 실적 입력'!$B:$B,'4. 광고 장부확인'!$A5)</f>
        <v/>
      </c>
      <c r="F12">
        <f>SUMIFS('2. 일별 광고 실적 입력'!$H:$H,'2. 일별 광고 실적 입력'!$C:$C,'4. 광고 장부확인'!F$3,'2. 일별 광고 실적 입력'!$B:$B,'4. 광고 장부확인'!$A5)</f>
        <v/>
      </c>
      <c r="G12">
        <f>SUMIFS('2. 일별 광고 실적 입력'!$H:$H,'2. 일별 광고 실적 입력'!$C:$C,'4. 광고 장부확인'!G$3,'2. 일별 광고 실적 입력'!$B:$B,'4. 광고 장부확인'!$A5)</f>
        <v/>
      </c>
      <c r="H12">
        <f>SUMIFS('2. 일별 광고 실적 입력'!$H:$H,'2. 일별 광고 실적 입력'!$C:$C,'4. 광고 장부확인'!H$3,'2. 일별 광고 실적 입력'!$B:$B,'4. 광고 장부확인'!$A5)</f>
        <v/>
      </c>
      <c r="I12">
        <f>SUMIFS('2. 일별 광고 실적 입력'!$H:$H,'2. 일별 광고 실적 입력'!$C:$C,'4. 광고 장부확인'!I$3,'2. 일별 광고 실적 입력'!$B:$B,'4. 광고 장부확인'!$A5)</f>
        <v/>
      </c>
      <c r="J12">
        <f>SUMIFS('2. 일별 광고 실적 입력'!$H:$H,'2. 일별 광고 실적 입력'!$C:$C,'4. 광고 장부확인'!J$3,'2. 일별 광고 실적 입력'!$B:$B,'4. 광고 장부확인'!$A5)</f>
        <v/>
      </c>
      <c r="K12">
        <f>SUMIFS('2. 일별 광고 실적 입력'!$H:$H,'2. 일별 광고 실적 입력'!$C:$C,'4. 광고 장부확인'!K$3,'2. 일별 광고 실적 입력'!$B:$B,'4. 광고 장부확인'!$A5)</f>
        <v/>
      </c>
      <c r="L12">
        <f>SUMIFS('2. 일별 광고 실적 입력'!$H:$H,'2. 일별 광고 실적 입력'!$C:$C,'4. 광고 장부확인'!L$3,'2. 일별 광고 실적 입력'!$B:$B,'4. 광고 장부확인'!$A5)</f>
        <v/>
      </c>
      <c r="M12">
        <f>SUMIFS('2. 일별 광고 실적 입력'!$H:$H,'2. 일별 광고 실적 입력'!$C:$C,'4. 광고 장부확인'!M$3,'2. 일별 광고 실적 입력'!$B:$B,'4. 광고 장부확인'!$A5)</f>
        <v/>
      </c>
      <c r="N12">
        <f>SUMIFS('2. 일별 광고 실적 입력'!$H:$H,'2. 일별 광고 실적 입력'!$C:$C,'4. 광고 장부확인'!N$3,'2. 일별 광고 실적 입력'!$B:$B,'4. 광고 장부확인'!$A5)</f>
        <v/>
      </c>
      <c r="O12">
        <f>SUMIFS('2. 일별 광고 실적 입력'!$H:$H,'2. 일별 광고 실적 입력'!$C:$C,'4. 광고 장부확인'!O$3,'2. 일별 광고 실적 입력'!$B:$B,'4. 광고 장부확인'!$A5)</f>
        <v/>
      </c>
      <c r="P12">
        <f>SUMIFS('2. 일별 광고 실적 입력'!$H:$H,'2. 일별 광고 실적 입력'!$C:$C,'4. 광고 장부확인'!P$3,'2. 일별 광고 실적 입력'!$B:$B,'4. 광고 장부확인'!$A5)</f>
        <v/>
      </c>
      <c r="Q12">
        <f>SUMIFS('2. 일별 광고 실적 입력'!$H:$H,'2. 일별 광고 실적 입력'!$C:$C,'4. 광고 장부확인'!Q$3,'2. 일별 광고 실적 입력'!$B:$B,'4. 광고 장부확인'!$A5)</f>
        <v/>
      </c>
      <c r="R12">
        <f>SUMIFS('2. 일별 광고 실적 입력'!$H:$H,'2. 일별 광고 실적 입력'!$C:$C,'4. 광고 장부확인'!R$3,'2. 일별 광고 실적 입력'!$B:$B,'4. 광고 장부확인'!$A5)</f>
        <v/>
      </c>
      <c r="S12">
        <f>SUMIFS('2. 일별 광고 실적 입력'!$H:$H,'2. 일별 광고 실적 입력'!$C:$C,'4. 광고 장부확인'!S$3,'2. 일별 광고 실적 입력'!$B:$B,'4. 광고 장부확인'!$A5)</f>
        <v/>
      </c>
      <c r="T12">
        <f>SUMIFS('2. 일별 광고 실적 입력'!$H:$H,'2. 일별 광고 실적 입력'!$C:$C,'4. 광고 장부확인'!T$3,'2. 일별 광고 실적 입력'!$B:$B,'4. 광고 장부확인'!$A5)</f>
        <v/>
      </c>
      <c r="U12">
        <f>SUMIFS('2. 일별 광고 실적 입력'!$H:$H,'2. 일별 광고 실적 입력'!$C:$C,'4. 광고 장부확인'!U$3,'2. 일별 광고 실적 입력'!$B:$B,'4. 광고 장부확인'!$A5)</f>
        <v/>
      </c>
      <c r="V12">
        <f>SUMIFS('2. 일별 광고 실적 입력'!$H:$H,'2. 일별 광고 실적 입력'!$C:$C,'4. 광고 장부확인'!V$3,'2. 일별 광고 실적 입력'!$B:$B,'4. 광고 장부확인'!$A5)</f>
        <v/>
      </c>
      <c r="W12">
        <f>SUMIFS('2. 일별 광고 실적 입력'!$H:$H,'2. 일별 광고 실적 입력'!$C:$C,'4. 광고 장부확인'!W$3,'2. 일별 광고 실적 입력'!$B:$B,'4. 광고 장부확인'!$A5)</f>
        <v/>
      </c>
      <c r="X12">
        <f>SUMIFS('2. 일별 광고 실적 입력'!$H:$H,'2. 일별 광고 실적 입력'!$C:$C,'4. 광고 장부확인'!X$3,'2. 일별 광고 실적 입력'!$B:$B,'4. 광고 장부확인'!$A5)</f>
        <v/>
      </c>
      <c r="Y12">
        <f>SUMIFS('2. 일별 광고 실적 입력'!$H:$H,'2. 일별 광고 실적 입력'!$C:$C,'4. 광고 장부확인'!Y$3,'2. 일별 광고 실적 입력'!$B:$B,'4. 광고 장부확인'!$A5)</f>
        <v/>
      </c>
      <c r="Z12">
        <f>SUMIFS('2. 일별 광고 실적 입력'!$H:$H,'2. 일별 광고 실적 입력'!$C:$C,'4. 광고 장부확인'!Z$3,'2. 일별 광고 실적 입력'!$B:$B,'4. 광고 장부확인'!$A5)</f>
        <v/>
      </c>
      <c r="AA12">
        <f>SUMIFS('2. 일별 광고 실적 입력'!$H:$H,'2. 일별 광고 실적 입력'!$C:$C,'4. 광고 장부확인'!AA$3,'2. 일별 광고 실적 입력'!$B:$B,'4. 광고 장부확인'!$A5)</f>
        <v/>
      </c>
      <c r="AB12">
        <f>SUMIFS('2. 일별 광고 실적 입력'!$H:$H,'2. 일별 광고 실적 입력'!$C:$C,'4. 광고 장부확인'!AB$3,'2. 일별 광고 실적 입력'!$B:$B,'4. 광고 장부확인'!$A5)</f>
        <v/>
      </c>
      <c r="AC12">
        <f>SUMIFS('2. 일별 광고 실적 입력'!$H:$H,'2. 일별 광고 실적 입력'!$C:$C,'4. 광고 장부확인'!AC$3,'2. 일별 광고 실적 입력'!$B:$B,'4. 광고 장부확인'!$A5)</f>
        <v/>
      </c>
      <c r="AD12">
        <f>SUMIFS('2. 일별 광고 실적 입력'!$H:$H,'2. 일별 광고 실적 입력'!$C:$C,'4. 광고 장부확인'!AD$3,'2. 일별 광고 실적 입력'!$B:$B,'4. 광고 장부확인'!$A5)</f>
        <v/>
      </c>
      <c r="AE12">
        <f>SUMIFS('2. 일별 광고 실적 입력'!$H:$H,'2. 일별 광고 실적 입력'!$C:$C,'4. 광고 장부확인'!AE$3,'2. 일별 광고 실적 입력'!$B:$B,'4. 광고 장부확인'!$A5)</f>
        <v/>
      </c>
      <c r="AF12">
        <f>SUMIFS('2. 일별 광고 실적 입력'!$H:$H,'2. 일별 광고 실적 입력'!$C:$C,'4. 광고 장부확인'!AF$3,'2. 일별 광고 실적 입력'!$B:$B,'4. 광고 장부확인'!$A5)</f>
        <v/>
      </c>
      <c r="AG12">
        <f>SUM(C12:AF12)</f>
        <v/>
      </c>
    </row>
    <row r="13">
      <c r="B13" t="inlineStr">
        <is>
          <t>광고 전환 판매 수</t>
        </is>
      </c>
      <c r="C13">
        <f>SUMIFS('2. 일별 광고 실적 입력'!$L:$L,'2. 일별 광고 실적 입력'!$C:$C,'4. 광고 장부확인'!C$3,'2. 일별 광고 실적 입력'!$B:$B,'4. 광고 장부확인'!$A5)</f>
        <v/>
      </c>
      <c r="D13">
        <f>SUMIFS('2. 일별 광고 실적 입력'!$L:$L,'2. 일별 광고 실적 입력'!$C:$C,'4. 광고 장부확인'!D$3,'2. 일별 광고 실적 입력'!$B:$B,'4. 광고 장부확인'!$A5)</f>
        <v/>
      </c>
      <c r="E13">
        <f>SUMIFS('2. 일별 광고 실적 입력'!$L:$L,'2. 일별 광고 실적 입력'!$C:$C,'4. 광고 장부확인'!E$3,'2. 일별 광고 실적 입력'!$B:$B,'4. 광고 장부확인'!$A5)</f>
        <v/>
      </c>
      <c r="F13">
        <f>SUMIFS('2. 일별 광고 실적 입력'!$L:$L,'2. 일별 광고 실적 입력'!$C:$C,'4. 광고 장부확인'!F$3,'2. 일별 광고 실적 입력'!$B:$B,'4. 광고 장부확인'!$A5)</f>
        <v/>
      </c>
      <c r="G13">
        <f>SUMIFS('2. 일별 광고 실적 입력'!$L:$L,'2. 일별 광고 실적 입력'!$C:$C,'4. 광고 장부확인'!G$3,'2. 일별 광고 실적 입력'!$B:$B,'4. 광고 장부확인'!$A5)</f>
        <v/>
      </c>
      <c r="H13">
        <f>SUMIFS('2. 일별 광고 실적 입력'!$L:$L,'2. 일별 광고 실적 입력'!$C:$C,'4. 광고 장부확인'!H$3,'2. 일별 광고 실적 입력'!$B:$B,'4. 광고 장부확인'!$A5)</f>
        <v/>
      </c>
      <c r="I13">
        <f>SUMIFS('2. 일별 광고 실적 입력'!$L:$L,'2. 일별 광고 실적 입력'!$C:$C,'4. 광고 장부확인'!I$3,'2. 일별 광고 실적 입력'!$B:$B,'4. 광고 장부확인'!$A5)</f>
        <v/>
      </c>
      <c r="J13">
        <f>SUMIFS('2. 일별 광고 실적 입력'!$L:$L,'2. 일별 광고 실적 입력'!$C:$C,'4. 광고 장부확인'!J$3,'2. 일별 광고 실적 입력'!$B:$B,'4. 광고 장부확인'!$A5)</f>
        <v/>
      </c>
      <c r="K13">
        <f>SUMIFS('2. 일별 광고 실적 입력'!$L:$L,'2. 일별 광고 실적 입력'!$C:$C,'4. 광고 장부확인'!K$3,'2. 일별 광고 실적 입력'!$B:$B,'4. 광고 장부확인'!$A5)</f>
        <v/>
      </c>
      <c r="L13">
        <f>SUMIFS('2. 일별 광고 실적 입력'!$L:$L,'2. 일별 광고 실적 입력'!$C:$C,'4. 광고 장부확인'!L$3,'2. 일별 광고 실적 입력'!$B:$B,'4. 광고 장부확인'!$A5)</f>
        <v/>
      </c>
      <c r="M13">
        <f>SUMIFS('2. 일별 광고 실적 입력'!$L:$L,'2. 일별 광고 실적 입력'!$C:$C,'4. 광고 장부확인'!M$3,'2. 일별 광고 실적 입력'!$B:$B,'4. 광고 장부확인'!$A5)</f>
        <v/>
      </c>
      <c r="N13">
        <f>SUMIFS('2. 일별 광고 실적 입력'!$L:$L,'2. 일별 광고 실적 입력'!$C:$C,'4. 광고 장부확인'!N$3,'2. 일별 광고 실적 입력'!$B:$B,'4. 광고 장부확인'!$A5)</f>
        <v/>
      </c>
      <c r="O13">
        <f>SUMIFS('2. 일별 광고 실적 입력'!$L:$L,'2. 일별 광고 실적 입력'!$C:$C,'4. 광고 장부확인'!O$3,'2. 일별 광고 실적 입력'!$B:$B,'4. 광고 장부확인'!$A5)</f>
        <v/>
      </c>
      <c r="P13">
        <f>SUMIFS('2. 일별 광고 실적 입력'!$L:$L,'2. 일별 광고 실적 입력'!$C:$C,'4. 광고 장부확인'!P$3,'2. 일별 광고 실적 입력'!$B:$B,'4. 광고 장부확인'!$A5)</f>
        <v/>
      </c>
      <c r="Q13">
        <f>SUMIFS('2. 일별 광고 실적 입력'!$L:$L,'2. 일별 광고 실적 입력'!$C:$C,'4. 광고 장부확인'!Q$3,'2. 일별 광고 실적 입력'!$B:$B,'4. 광고 장부확인'!$A5)</f>
        <v/>
      </c>
      <c r="R13">
        <f>SUMIFS('2. 일별 광고 실적 입력'!$L:$L,'2. 일별 광고 실적 입력'!$C:$C,'4. 광고 장부확인'!R$3,'2. 일별 광고 실적 입력'!$B:$B,'4. 광고 장부확인'!$A5)</f>
        <v/>
      </c>
      <c r="S13">
        <f>SUMIFS('2. 일별 광고 실적 입력'!$L:$L,'2. 일별 광고 실적 입력'!$C:$C,'4. 광고 장부확인'!S$3,'2. 일별 광고 실적 입력'!$B:$B,'4. 광고 장부확인'!$A5)</f>
        <v/>
      </c>
      <c r="T13">
        <f>SUMIFS('2. 일별 광고 실적 입력'!$L:$L,'2. 일별 광고 실적 입력'!$C:$C,'4. 광고 장부확인'!T$3,'2. 일별 광고 실적 입력'!$B:$B,'4. 광고 장부확인'!$A5)</f>
        <v/>
      </c>
      <c r="U13">
        <f>SUMIFS('2. 일별 광고 실적 입력'!$L:$L,'2. 일별 광고 실적 입력'!$C:$C,'4. 광고 장부확인'!U$3,'2. 일별 광고 실적 입력'!$B:$B,'4. 광고 장부확인'!$A5)</f>
        <v/>
      </c>
      <c r="V13">
        <f>SUMIFS('2. 일별 광고 실적 입력'!$L:$L,'2. 일별 광고 실적 입력'!$C:$C,'4. 광고 장부확인'!V$3,'2. 일별 광고 실적 입력'!$B:$B,'4. 광고 장부확인'!$A5)</f>
        <v/>
      </c>
      <c r="W13">
        <f>SUMIFS('2. 일별 광고 실적 입력'!$L:$L,'2. 일별 광고 실적 입력'!$C:$C,'4. 광고 장부확인'!W$3,'2. 일별 광고 실적 입력'!$B:$B,'4. 광고 장부확인'!$A5)</f>
        <v/>
      </c>
      <c r="X13">
        <f>SUMIFS('2. 일별 광고 실적 입력'!$L:$L,'2. 일별 광고 실적 입력'!$C:$C,'4. 광고 장부확인'!X$3,'2. 일별 광고 실적 입력'!$B:$B,'4. 광고 장부확인'!$A5)</f>
        <v/>
      </c>
      <c r="Y13">
        <f>SUMIFS('2. 일별 광고 실적 입력'!$L:$L,'2. 일별 광고 실적 입력'!$C:$C,'4. 광고 장부확인'!Y$3,'2. 일별 광고 실적 입력'!$B:$B,'4. 광고 장부확인'!$A5)</f>
        <v/>
      </c>
      <c r="Z13">
        <f>SUMIFS('2. 일별 광고 실적 입력'!$L:$L,'2. 일별 광고 실적 입력'!$C:$C,'4. 광고 장부확인'!Z$3,'2. 일별 광고 실적 입력'!$B:$B,'4. 광고 장부확인'!$A5)</f>
        <v/>
      </c>
      <c r="AA13">
        <f>SUMIFS('2. 일별 광고 실적 입력'!$L:$L,'2. 일별 광고 실적 입력'!$C:$C,'4. 광고 장부확인'!AA$3,'2. 일별 광고 실적 입력'!$B:$B,'4. 광고 장부확인'!$A5)</f>
        <v/>
      </c>
      <c r="AB13">
        <f>SUMIFS('2. 일별 광고 실적 입력'!$L:$L,'2. 일별 광고 실적 입력'!$C:$C,'4. 광고 장부확인'!AB$3,'2. 일별 광고 실적 입력'!$B:$B,'4. 광고 장부확인'!$A5)</f>
        <v/>
      </c>
      <c r="AC13">
        <f>SUMIFS('2. 일별 광고 실적 입력'!$L:$L,'2. 일별 광고 실적 입력'!$C:$C,'4. 광고 장부확인'!AC$3,'2. 일별 광고 실적 입력'!$B:$B,'4. 광고 장부확인'!$A5)</f>
        <v/>
      </c>
      <c r="AD13">
        <f>SUMIFS('2. 일별 광고 실적 입력'!$L:$L,'2. 일별 광고 실적 입력'!$C:$C,'4. 광고 장부확인'!AD$3,'2. 일별 광고 실적 입력'!$B:$B,'4. 광고 장부확인'!$A5)</f>
        <v/>
      </c>
      <c r="AE13">
        <f>SUMIFS('2. 일별 광고 실적 입력'!$L:$L,'2. 일별 광고 실적 입력'!$C:$C,'4. 광고 장부확인'!AE$3,'2. 일별 광고 실적 입력'!$B:$B,'4. 광고 장부확인'!$A5)</f>
        <v/>
      </c>
      <c r="AF13">
        <f>SUMIFS('2. 일별 광고 실적 입력'!$L:$L,'2. 일별 광고 실적 입력'!$C:$C,'4. 광고 장부확인'!AF$3,'2. 일별 광고 실적 입력'!$B:$B,'4. 광고 장부확인'!$A5)</f>
        <v/>
      </c>
      <c r="AG13">
        <f>SUM(C13:AF13)</f>
        <v/>
      </c>
    </row>
    <row r="14">
      <c r="B14" t="inlineStr">
        <is>
          <t>자연 판매 수</t>
        </is>
      </c>
      <c r="C14">
        <f>C15-C13</f>
        <v/>
      </c>
      <c r="D14">
        <f>D15-D13</f>
        <v/>
      </c>
      <c r="E14">
        <f>E15-E13</f>
        <v/>
      </c>
      <c r="F14">
        <f>F15-F13</f>
        <v/>
      </c>
      <c r="G14">
        <f>G15-G13</f>
        <v/>
      </c>
      <c r="H14">
        <f>H15-H13</f>
        <v/>
      </c>
      <c r="I14">
        <f>I15-I13</f>
        <v/>
      </c>
      <c r="J14">
        <f>J15-J13</f>
        <v/>
      </c>
      <c r="K14">
        <f>K15-K13</f>
        <v/>
      </c>
      <c r="L14">
        <f>L15-L13</f>
        <v/>
      </c>
      <c r="AG14">
        <f>SUM(C14:AF14)</f>
        <v/>
      </c>
    </row>
    <row r="15">
      <c r="B15" t="inlineStr">
        <is>
          <t>실제 판매 수</t>
        </is>
      </c>
      <c r="C15">
        <f>SUMIFS('3. 일별 매출 실적 입력'!$P:$P,'3. 일별 매출 실적 입력'!$Q:$Q,'4. 광고 장부확인'!$A5,'3. 일별 매출 실적 입력'!$B:$B,'4. 광고 장부확인'!C$3)</f>
        <v/>
      </c>
      <c r="D15">
        <f>SUMIFS('3. 일별 매출 실적 입력'!$P:$P,'3. 일별 매출 실적 입력'!$Q:$Q,'4. 광고 장부확인'!$A5,'3. 일별 매출 실적 입력'!$B:$B,'4. 광고 장부확인'!D$3)</f>
        <v/>
      </c>
      <c r="E15">
        <f>SUMIFS('3. 일별 매출 실적 입력'!$P:$P,'3. 일별 매출 실적 입력'!$Q:$Q,'4. 광고 장부확인'!$A5,'3. 일별 매출 실적 입력'!$B:$B,'4. 광고 장부확인'!E$3)</f>
        <v/>
      </c>
      <c r="F15">
        <f>SUMIFS('3. 일별 매출 실적 입력'!$P:$P,'3. 일별 매출 실적 입력'!$Q:$Q,'4. 광고 장부확인'!$A5,'3. 일별 매출 실적 입력'!$B:$B,'4. 광고 장부확인'!F$3)</f>
        <v/>
      </c>
      <c r="G15">
        <f>SUMIFS('3. 일별 매출 실적 입력'!$P:$P,'3. 일별 매출 실적 입력'!$Q:$Q,'4. 광고 장부확인'!$A5,'3. 일별 매출 실적 입력'!$B:$B,'4. 광고 장부확인'!G$3)</f>
        <v/>
      </c>
      <c r="H15">
        <f>SUMIFS('3. 일별 매출 실적 입력'!$P:$P,'3. 일별 매출 실적 입력'!$Q:$Q,'4. 광고 장부확인'!$A5,'3. 일별 매출 실적 입력'!$B:$B,'4. 광고 장부확인'!H$3)</f>
        <v/>
      </c>
      <c r="I15">
        <f>SUMIFS('3. 일별 매출 실적 입력'!$P:$P,'3. 일별 매출 실적 입력'!$Q:$Q,'4. 광고 장부확인'!$A5,'3. 일별 매출 실적 입력'!$B:$B,'4. 광고 장부확인'!I$3)</f>
        <v/>
      </c>
      <c r="J15">
        <f>SUMIFS('3. 일별 매출 실적 입력'!$P:$P,'3. 일별 매출 실적 입력'!$Q:$Q,'4. 광고 장부확인'!$A5,'3. 일별 매출 실적 입력'!$B:$B,'4. 광고 장부확인'!J$3)</f>
        <v/>
      </c>
      <c r="K15">
        <f>SUMIFS('3. 일별 매출 실적 입력'!$P:$P,'3. 일별 매출 실적 입력'!$Q:$Q,'4. 광고 장부확인'!$A5,'3. 일별 매출 실적 입력'!$B:$B,'4. 광고 장부확인'!K$3)</f>
        <v/>
      </c>
      <c r="L15">
        <f>SUMIFS('3. 일별 매출 실적 입력'!$P:$P,'3. 일별 매출 실적 입력'!$Q:$Q,'4. 광고 장부확인'!$A5,'3. 일별 매출 실적 입력'!$B:$B,'4. 광고 장부확인'!L$3)</f>
        <v/>
      </c>
      <c r="M15">
        <f>SUMIFS('3. 일별 매출 실적 입력'!$P:$P,'3. 일별 매출 실적 입력'!$Q:$Q,'4. 광고 장부확인'!$A5,'3. 일별 매출 실적 입력'!$B:$B,'4. 광고 장부확인'!M$3)</f>
        <v/>
      </c>
      <c r="N15">
        <f>SUMIFS('3. 일별 매출 실적 입력'!$P:$P,'3. 일별 매출 실적 입력'!$Q:$Q,'4. 광고 장부확인'!$A5,'3. 일별 매출 실적 입력'!$B:$B,'4. 광고 장부확인'!N$3)</f>
        <v/>
      </c>
      <c r="O15">
        <f>SUMIFS('3. 일별 매출 실적 입력'!$P:$P,'3. 일별 매출 실적 입력'!$Q:$Q,'4. 광고 장부확인'!$A5,'3. 일별 매출 실적 입력'!$B:$B,'4. 광고 장부확인'!O$3)</f>
        <v/>
      </c>
      <c r="P15">
        <f>SUMIFS('3. 일별 매출 실적 입력'!$P:$P,'3. 일별 매출 실적 입력'!$Q:$Q,'4. 광고 장부확인'!$A5,'3. 일별 매출 실적 입력'!$B:$B,'4. 광고 장부확인'!P$3)</f>
        <v/>
      </c>
      <c r="Q15">
        <f>SUMIFS('3. 일별 매출 실적 입력'!$P:$P,'3. 일별 매출 실적 입력'!$Q:$Q,'4. 광고 장부확인'!$A5,'3. 일별 매출 실적 입력'!$B:$B,'4. 광고 장부확인'!Q$3)</f>
        <v/>
      </c>
      <c r="R15">
        <f>SUMIFS('3. 일별 매출 실적 입력'!$P:$P,'3. 일별 매출 실적 입력'!$Q:$Q,'4. 광고 장부확인'!$A5,'3. 일별 매출 실적 입력'!$B:$B,'4. 광고 장부확인'!R$3)</f>
        <v/>
      </c>
      <c r="S15">
        <f>SUMIFS('3. 일별 매출 실적 입력'!$P:$P,'3. 일별 매출 실적 입력'!$Q:$Q,'4. 광고 장부확인'!$A5,'3. 일별 매출 실적 입력'!$B:$B,'4. 광고 장부확인'!S$3)</f>
        <v/>
      </c>
      <c r="T15">
        <f>SUMIFS('3. 일별 매출 실적 입력'!$P:$P,'3. 일별 매출 실적 입력'!$Q:$Q,'4. 광고 장부확인'!$A5,'3. 일별 매출 실적 입력'!$B:$B,'4. 광고 장부확인'!T$3)</f>
        <v/>
      </c>
      <c r="U15">
        <f>SUMIFS('3. 일별 매출 실적 입력'!$P:$P,'3. 일별 매출 실적 입력'!$Q:$Q,'4. 광고 장부확인'!$A5,'3. 일별 매출 실적 입력'!$B:$B,'4. 광고 장부확인'!U$3)</f>
        <v/>
      </c>
      <c r="V15">
        <f>SUMIFS('3. 일별 매출 실적 입력'!$P:$P,'3. 일별 매출 실적 입력'!$Q:$Q,'4. 광고 장부확인'!$A5,'3. 일별 매출 실적 입력'!$B:$B,'4. 광고 장부확인'!V$3)</f>
        <v/>
      </c>
      <c r="W15">
        <f>SUMIFS('3. 일별 매출 실적 입력'!$P:$P,'3. 일별 매출 실적 입력'!$Q:$Q,'4. 광고 장부확인'!$A5,'3. 일별 매출 실적 입력'!$B:$B,'4. 광고 장부확인'!W$3)</f>
        <v/>
      </c>
      <c r="X15">
        <f>SUMIFS('3. 일별 매출 실적 입력'!$P:$P,'3. 일별 매출 실적 입력'!$Q:$Q,'4. 광고 장부확인'!$A5,'3. 일별 매출 실적 입력'!$B:$B,'4. 광고 장부확인'!X$3)</f>
        <v/>
      </c>
      <c r="Y15">
        <f>SUMIFS('3. 일별 매출 실적 입력'!$P:$P,'3. 일별 매출 실적 입력'!$Q:$Q,'4. 광고 장부확인'!$A5,'3. 일별 매출 실적 입력'!$B:$B,'4. 광고 장부확인'!Y$3)</f>
        <v/>
      </c>
      <c r="Z15">
        <f>SUMIFS('3. 일별 매출 실적 입력'!$P:$P,'3. 일별 매출 실적 입력'!$Q:$Q,'4. 광고 장부확인'!$A5,'3. 일별 매출 실적 입력'!$B:$B,'4. 광고 장부확인'!Z$3)</f>
        <v/>
      </c>
      <c r="AA15">
        <f>SUMIFS('3. 일별 매출 실적 입력'!$P:$P,'3. 일별 매출 실적 입력'!$Q:$Q,'4. 광고 장부확인'!$A5,'3. 일별 매출 실적 입력'!$B:$B,'4. 광고 장부확인'!AA$3)</f>
        <v/>
      </c>
      <c r="AB15">
        <f>SUMIFS('3. 일별 매출 실적 입력'!$P:$P,'3. 일별 매출 실적 입력'!$Q:$Q,'4. 광고 장부확인'!$A5,'3. 일별 매출 실적 입력'!$B:$B,'4. 광고 장부확인'!AB$3)</f>
        <v/>
      </c>
      <c r="AC15">
        <f>SUMIFS('3. 일별 매출 실적 입력'!$P:$P,'3. 일별 매출 실적 입력'!$Q:$Q,'4. 광고 장부확인'!$A5,'3. 일별 매출 실적 입력'!$B:$B,'4. 광고 장부확인'!AC$3)</f>
        <v/>
      </c>
      <c r="AD15">
        <f>SUMIFS('3. 일별 매출 실적 입력'!$P:$P,'3. 일별 매출 실적 입력'!$Q:$Q,'4. 광고 장부확인'!$A5,'3. 일별 매출 실적 입력'!$B:$B,'4. 광고 장부확인'!AD$3)</f>
        <v/>
      </c>
      <c r="AE15">
        <f>SUMIFS('3. 일별 매출 실적 입력'!$P:$P,'3. 일별 매출 실적 입력'!$Q:$Q,'4. 광고 장부확인'!$A5,'3. 일별 매출 실적 입력'!$B:$B,'4. 광고 장부확인'!AE$3)</f>
        <v/>
      </c>
      <c r="AF15">
        <f>SUMIFS('3. 일별 매출 실적 입력'!$P:$P,'3. 일별 매출 실적 입력'!$Q:$Q,'4. 광고 장부확인'!$A5,'3. 일별 매출 실적 입력'!$B:$B,'4. 광고 장부확인'!AF$3)</f>
        <v/>
      </c>
      <c r="AG15">
        <f>SUM(C15:AF15)</f>
        <v/>
      </c>
    </row>
    <row r="16">
      <c r="B16" t="inlineStr">
        <is>
          <t>광고 마진</t>
        </is>
      </c>
      <c r="C16">
        <f>SUMIFS('3. 일별 매출 실적 입력'!$R:$R,'3. 일별 매출 실적 입력'!$Q:$Q,'4. 광고 장부확인'!$A5,'3. 일별 매출 실적 입력'!$B:$B,'4. 광고 장부확인'!C$3)</f>
        <v/>
      </c>
      <c r="D16">
        <f>SUMIFS('3. 일별 매출 실적 입력'!$R:$R,'3. 일별 매출 실적 입력'!$Q:$Q,'4. 광고 장부확인'!$A5,'3. 일별 매출 실적 입력'!$B:$B,'4. 광고 장부확인'!D$3)</f>
        <v/>
      </c>
      <c r="E16">
        <f>SUMIFS('3. 일별 매출 실적 입력'!$R:$R,'3. 일별 매출 실적 입력'!$Q:$Q,'4. 광고 장부확인'!$A5,'3. 일별 매출 실적 입력'!$B:$B,'4. 광고 장부확인'!E$3)</f>
        <v/>
      </c>
      <c r="F16">
        <f>SUMIFS('3. 일별 매출 실적 입력'!$R:$R,'3. 일별 매출 실적 입력'!$Q:$Q,'4. 광고 장부확인'!$A5,'3. 일별 매출 실적 입력'!$B:$B,'4. 광고 장부확인'!F$3)</f>
        <v/>
      </c>
      <c r="G16">
        <f>SUMIFS('3. 일별 매출 실적 입력'!$R:$R,'3. 일별 매출 실적 입력'!$Q:$Q,'4. 광고 장부확인'!$A5,'3. 일별 매출 실적 입력'!$B:$B,'4. 광고 장부확인'!G$3)</f>
        <v/>
      </c>
      <c r="H16">
        <f>SUMIFS('3. 일별 매출 실적 입력'!$R:$R,'3. 일별 매출 실적 입력'!$Q:$Q,'4. 광고 장부확인'!$A5,'3. 일별 매출 실적 입력'!$B:$B,'4. 광고 장부확인'!H$3)</f>
        <v/>
      </c>
      <c r="I16">
        <f>SUMIFS('3. 일별 매출 실적 입력'!$R:$R,'3. 일별 매출 실적 입력'!$Q:$Q,'4. 광고 장부확인'!$A5,'3. 일별 매출 실적 입력'!$B:$B,'4. 광고 장부확인'!I$3)</f>
        <v/>
      </c>
      <c r="J16">
        <f>SUMIFS('3. 일별 매출 실적 입력'!$R:$R,'3. 일별 매출 실적 입력'!$Q:$Q,'4. 광고 장부확인'!$A5,'3. 일별 매출 실적 입력'!$B:$B,'4. 광고 장부확인'!J$3)</f>
        <v/>
      </c>
      <c r="K16">
        <f>SUMIFS('3. 일별 매출 실적 입력'!$R:$R,'3. 일별 매출 실적 입력'!$Q:$Q,'4. 광고 장부확인'!$A5,'3. 일별 매출 실적 입력'!$B:$B,'4. 광고 장부확인'!K$3)</f>
        <v/>
      </c>
      <c r="L16">
        <f>SUMIFS('3. 일별 매출 실적 입력'!$R:$R,'3. 일별 매출 실적 입력'!$Q:$Q,'4. 광고 장부확인'!$A5,'3. 일별 매출 실적 입력'!$B:$B,'4. 광고 장부확인'!L$3)</f>
        <v/>
      </c>
      <c r="M16">
        <f>SUMIFS('3. 일별 매출 실적 입력'!$R:$R,'3. 일별 매출 실적 입력'!$Q:$Q,'4. 광고 장부확인'!$A5,'3. 일별 매출 실적 입력'!$B:$B,'4. 광고 장부확인'!M$3)</f>
        <v/>
      </c>
      <c r="N16">
        <f>SUMIFS('3. 일별 매출 실적 입력'!$R:$R,'3. 일별 매출 실적 입력'!$Q:$Q,'4. 광고 장부확인'!$A5,'3. 일별 매출 실적 입력'!$B:$B,'4. 광고 장부확인'!N$3)</f>
        <v/>
      </c>
      <c r="O16">
        <f>SUMIFS('3. 일별 매출 실적 입력'!$R:$R,'3. 일별 매출 실적 입력'!$Q:$Q,'4. 광고 장부확인'!$A5,'3. 일별 매출 실적 입력'!$B:$B,'4. 광고 장부확인'!O$3)</f>
        <v/>
      </c>
      <c r="P16">
        <f>SUMIFS('3. 일별 매출 실적 입력'!$R:$R,'3. 일별 매출 실적 입력'!$Q:$Q,'4. 광고 장부확인'!$A5,'3. 일별 매출 실적 입력'!$B:$B,'4. 광고 장부확인'!P$3)</f>
        <v/>
      </c>
      <c r="Q16">
        <f>SUMIFS('3. 일별 매출 실적 입력'!$R:$R,'3. 일별 매출 실적 입력'!$Q:$Q,'4. 광고 장부확인'!$A5,'3. 일별 매출 실적 입력'!$B:$B,'4. 광고 장부확인'!Q$3)</f>
        <v/>
      </c>
      <c r="R16">
        <f>SUMIFS('3. 일별 매출 실적 입력'!$R:$R,'3. 일별 매출 실적 입력'!$Q:$Q,'4. 광고 장부확인'!$A5,'3. 일별 매출 실적 입력'!$B:$B,'4. 광고 장부확인'!R$3)</f>
        <v/>
      </c>
      <c r="S16">
        <f>SUMIFS('3. 일별 매출 실적 입력'!$R:$R,'3. 일별 매출 실적 입력'!$Q:$Q,'4. 광고 장부확인'!$A5,'3. 일별 매출 실적 입력'!$B:$B,'4. 광고 장부확인'!S$3)</f>
        <v/>
      </c>
      <c r="T16">
        <f>SUMIFS('3. 일별 매출 실적 입력'!$R:$R,'3. 일별 매출 실적 입력'!$Q:$Q,'4. 광고 장부확인'!$A5,'3. 일별 매출 실적 입력'!$B:$B,'4. 광고 장부확인'!T$3)</f>
        <v/>
      </c>
      <c r="U16">
        <f>SUMIFS('3. 일별 매출 실적 입력'!$R:$R,'3. 일별 매출 실적 입력'!$Q:$Q,'4. 광고 장부확인'!$A5,'3. 일별 매출 실적 입력'!$B:$B,'4. 광고 장부확인'!U$3)</f>
        <v/>
      </c>
      <c r="V16">
        <f>SUMIFS('3. 일별 매출 실적 입력'!$R:$R,'3. 일별 매출 실적 입력'!$Q:$Q,'4. 광고 장부확인'!$A5,'3. 일별 매출 실적 입력'!$B:$B,'4. 광고 장부확인'!V$3)</f>
        <v/>
      </c>
      <c r="W16">
        <f>SUMIFS('3. 일별 매출 실적 입력'!$R:$R,'3. 일별 매출 실적 입력'!$Q:$Q,'4. 광고 장부확인'!$A5,'3. 일별 매출 실적 입력'!$B:$B,'4. 광고 장부확인'!W$3)</f>
        <v/>
      </c>
      <c r="X16">
        <f>SUMIFS('3. 일별 매출 실적 입력'!$R:$R,'3. 일별 매출 실적 입력'!$Q:$Q,'4. 광고 장부확인'!$A5,'3. 일별 매출 실적 입력'!$B:$B,'4. 광고 장부확인'!X$3)</f>
        <v/>
      </c>
      <c r="Y16">
        <f>SUMIFS('3. 일별 매출 실적 입력'!$R:$R,'3. 일별 매출 실적 입력'!$Q:$Q,'4. 광고 장부확인'!$A5,'3. 일별 매출 실적 입력'!$B:$B,'4. 광고 장부확인'!Y$3)</f>
        <v/>
      </c>
      <c r="Z16">
        <f>SUMIFS('3. 일별 매출 실적 입력'!$R:$R,'3. 일별 매출 실적 입력'!$Q:$Q,'4. 광고 장부확인'!$A5,'3. 일별 매출 실적 입력'!$B:$B,'4. 광고 장부확인'!Z$3)</f>
        <v/>
      </c>
      <c r="AA16">
        <f>SUMIFS('3. 일별 매출 실적 입력'!$R:$R,'3. 일별 매출 실적 입력'!$Q:$Q,'4. 광고 장부확인'!$A5,'3. 일별 매출 실적 입력'!$B:$B,'4. 광고 장부확인'!AA$3)</f>
        <v/>
      </c>
      <c r="AB16">
        <f>SUMIFS('3. 일별 매출 실적 입력'!$R:$R,'3. 일별 매출 실적 입력'!$Q:$Q,'4. 광고 장부확인'!$A5,'3. 일별 매출 실적 입력'!$B:$B,'4. 광고 장부확인'!AB$3)</f>
        <v/>
      </c>
      <c r="AC16">
        <f>SUMIFS('3. 일별 매출 실적 입력'!$R:$R,'3. 일별 매출 실적 입력'!$Q:$Q,'4. 광고 장부확인'!$A5,'3. 일별 매출 실적 입력'!$B:$B,'4. 광고 장부확인'!AC$3)</f>
        <v/>
      </c>
      <c r="AD16">
        <f>SUMIFS('3. 일별 매출 실적 입력'!$R:$R,'3. 일별 매출 실적 입력'!$Q:$Q,'4. 광고 장부확인'!$A5,'3. 일별 매출 실적 입력'!$B:$B,'4. 광고 장부확인'!AD$3)</f>
        <v/>
      </c>
      <c r="AE16">
        <f>SUMIFS('3. 일별 매출 실적 입력'!$R:$R,'3. 일별 매출 실적 입력'!$Q:$Q,'4. 광고 장부확인'!$A5,'3. 일별 매출 실적 입력'!$B:$B,'4. 광고 장부확인'!AE$3)</f>
        <v/>
      </c>
      <c r="AF16">
        <f>SUMIFS('3. 일별 매출 실적 입력'!$R:$R,'3. 일별 매출 실적 입력'!$Q:$Q,'4. 광고 장부확인'!$A5,'3. 일별 매출 실적 입력'!$B:$B,'4. 광고 장부확인'!AF$3)</f>
        <v/>
      </c>
      <c r="AG16">
        <f>SUM(C16:AF16)</f>
        <v/>
      </c>
    </row>
    <row r="17">
      <c r="B17" t="inlineStr">
        <is>
          <t>순이익 (광고비제외)</t>
        </is>
      </c>
      <c r="C17">
        <f>C16-C8</f>
        <v/>
      </c>
      <c r="D17">
        <f>D16-D8</f>
        <v/>
      </c>
      <c r="E17">
        <f>E16-E8</f>
        <v/>
      </c>
      <c r="F17">
        <f>F16-F8</f>
        <v/>
      </c>
      <c r="G17">
        <f>G16-G8</f>
        <v/>
      </c>
      <c r="H17">
        <f>H16-H8</f>
        <v/>
      </c>
      <c r="I17">
        <f>I16-I8</f>
        <v/>
      </c>
      <c r="J17">
        <f>J16-J8</f>
        <v/>
      </c>
      <c r="K17">
        <f>K16-K8</f>
        <v/>
      </c>
      <c r="L17">
        <f>L16-L8</f>
        <v/>
      </c>
      <c r="M17">
        <f>M16-M8</f>
        <v/>
      </c>
      <c r="N17">
        <f>N16-N8</f>
        <v/>
      </c>
      <c r="O17">
        <f>O16-O8</f>
        <v/>
      </c>
      <c r="P17">
        <f>P16-P8</f>
        <v/>
      </c>
      <c r="Q17">
        <f>Q16-Q8</f>
        <v/>
      </c>
      <c r="R17">
        <f>R16-R8</f>
        <v/>
      </c>
      <c r="S17">
        <f>S16-S8</f>
        <v/>
      </c>
      <c r="T17">
        <f>T16-T8</f>
        <v/>
      </c>
      <c r="U17">
        <f>U16-U8</f>
        <v/>
      </c>
      <c r="V17">
        <f>V16-V8</f>
        <v/>
      </c>
      <c r="W17">
        <f>W16-W8</f>
        <v/>
      </c>
      <c r="X17">
        <f>X16-X8</f>
        <v/>
      </c>
      <c r="Y17">
        <f>Y16-Y8</f>
        <v/>
      </c>
      <c r="Z17">
        <f>Z16-Z8</f>
        <v/>
      </c>
      <c r="AA17">
        <f>AA16-AA8</f>
        <v/>
      </c>
      <c r="AB17">
        <f>AB16-AB8</f>
        <v/>
      </c>
      <c r="AC17">
        <f>AC16-AC8</f>
        <v/>
      </c>
      <c r="AD17">
        <f>AD16-AD8</f>
        <v/>
      </c>
      <c r="AE17">
        <f>AE16-AE8</f>
        <v/>
      </c>
      <c r="AF17">
        <f>AF16-AF8</f>
        <v/>
      </c>
      <c r="AG17">
        <f>SUM(C17:AF17)</f>
        <v/>
      </c>
    </row>
    <row r="18">
      <c r="A18" t="inlineStr">
        <is>
          <t>2. 발매트_213%</t>
        </is>
      </c>
      <c r="B18" t="inlineStr">
        <is>
          <t>목표효율</t>
        </is>
      </c>
      <c r="C18">
        <f>SUMIFS('2. 일별 광고 실적 입력'!$D:$D,'2. 일별 광고 실적 입력'!$C:$C,'4. 광고 장부확인'!C$3,'2. 일별 광고 실적 입력'!$B:$B,'4. 광고 장부확인'!$A18)</f>
        <v/>
      </c>
      <c r="D18">
        <f>SUMIFS('2. 일별 광고 실적 입력'!$D:$D,'2. 일별 광고 실적 입력'!$C:$C,'4. 광고 장부확인'!D$3,'2. 일별 광고 실적 입력'!$B:$B,'4. 광고 장부확인'!$A18)</f>
        <v/>
      </c>
      <c r="E18">
        <f>SUMIFS('2. 일별 광고 실적 입력'!$D:$D,'2. 일별 광고 실적 입력'!$C:$C,'4. 광고 장부확인'!E$3,'2. 일별 광고 실적 입력'!$B:$B,'4. 광고 장부확인'!$A18)</f>
        <v/>
      </c>
      <c r="F18">
        <f>SUMIFS('2. 일별 광고 실적 입력'!$D:$D,'2. 일별 광고 실적 입력'!$C:$C,'4. 광고 장부확인'!F$3,'2. 일별 광고 실적 입력'!$B:$B,'4. 광고 장부확인'!$A18)</f>
        <v/>
      </c>
      <c r="G18">
        <f>SUMIFS('2. 일별 광고 실적 입력'!$D:$D,'2. 일별 광고 실적 입력'!$C:$C,'4. 광고 장부확인'!G$3,'2. 일별 광고 실적 입력'!$B:$B,'4. 광고 장부확인'!$A18)</f>
        <v/>
      </c>
      <c r="H18">
        <f>SUMIFS('2. 일별 광고 실적 입력'!$D:$D,'2. 일별 광고 실적 입력'!$C:$C,'4. 광고 장부확인'!H$3,'2. 일별 광고 실적 입력'!$B:$B,'4. 광고 장부확인'!$A18)</f>
        <v/>
      </c>
      <c r="I18">
        <f>SUMIFS('2. 일별 광고 실적 입력'!$D:$D,'2. 일별 광고 실적 입력'!$C:$C,'4. 광고 장부확인'!I$3,'2. 일별 광고 실적 입력'!$B:$B,'4. 광고 장부확인'!$A18)</f>
        <v/>
      </c>
      <c r="J18">
        <f>SUMIFS('2. 일별 광고 실적 입력'!$D:$D,'2. 일별 광고 실적 입력'!$C:$C,'4. 광고 장부확인'!J$3,'2. 일별 광고 실적 입력'!$B:$B,'4. 광고 장부확인'!$A18)</f>
        <v/>
      </c>
      <c r="K18">
        <f>SUMIFS('2. 일별 광고 실적 입력'!$D:$D,'2. 일별 광고 실적 입력'!$C:$C,'4. 광고 장부확인'!K$3,'2. 일별 광고 실적 입력'!$B:$B,'4. 광고 장부확인'!$A18)</f>
        <v/>
      </c>
      <c r="L18">
        <f>SUMIFS('2. 일별 광고 실적 입력'!$D:$D,'2. 일별 광고 실적 입력'!$C:$C,'4. 광고 장부확인'!L$3,'2. 일별 광고 실적 입력'!$B:$B,'4. 광고 장부확인'!$A18)</f>
        <v/>
      </c>
      <c r="M18">
        <f>SUMIFS('2. 일별 광고 실적 입력'!$D:$D,'2. 일별 광고 실적 입력'!$C:$C,'4. 광고 장부확인'!M$3,'2. 일별 광고 실적 입력'!$B:$B,'4. 광고 장부확인'!$A18)</f>
        <v/>
      </c>
      <c r="N18">
        <f>SUMIFS('2. 일별 광고 실적 입력'!$D:$D,'2. 일별 광고 실적 입력'!$C:$C,'4. 광고 장부확인'!N$3,'2. 일별 광고 실적 입력'!$B:$B,'4. 광고 장부확인'!$A18)</f>
        <v/>
      </c>
      <c r="O18">
        <f>SUMIFS('2. 일별 광고 실적 입력'!$D:$D,'2. 일별 광고 실적 입력'!$C:$C,'4. 광고 장부확인'!O$3,'2. 일별 광고 실적 입력'!$B:$B,'4. 광고 장부확인'!$A18)</f>
        <v/>
      </c>
      <c r="P18">
        <f>SUMIFS('2. 일별 광고 실적 입력'!$D:$D,'2. 일별 광고 실적 입력'!$C:$C,'4. 광고 장부확인'!P$3,'2. 일별 광고 실적 입력'!$B:$B,'4. 광고 장부확인'!$A18)</f>
        <v/>
      </c>
      <c r="Q18">
        <f>SUMIFS('2. 일별 광고 실적 입력'!$D:$D,'2. 일별 광고 실적 입력'!$C:$C,'4. 광고 장부확인'!Q$3,'2. 일별 광고 실적 입력'!$B:$B,'4. 광고 장부확인'!$A18)</f>
        <v/>
      </c>
      <c r="R18">
        <f>SUMIFS('2. 일별 광고 실적 입력'!$D:$D,'2. 일별 광고 실적 입력'!$C:$C,'4. 광고 장부확인'!R$3,'2. 일별 광고 실적 입력'!$B:$B,'4. 광고 장부확인'!$A18)</f>
        <v/>
      </c>
      <c r="S18">
        <f>SUMIFS('2. 일별 광고 실적 입력'!$D:$D,'2. 일별 광고 실적 입력'!$C:$C,'4. 광고 장부확인'!S$3,'2. 일별 광고 실적 입력'!$B:$B,'4. 광고 장부확인'!$A18)</f>
        <v/>
      </c>
      <c r="T18">
        <f>SUMIFS('2. 일별 광고 실적 입력'!$D:$D,'2. 일별 광고 실적 입력'!$C:$C,'4. 광고 장부확인'!T$3,'2. 일별 광고 실적 입력'!$B:$B,'4. 광고 장부확인'!$A18)</f>
        <v/>
      </c>
      <c r="U18">
        <f>SUMIFS('2. 일별 광고 실적 입력'!$D:$D,'2. 일별 광고 실적 입력'!$C:$C,'4. 광고 장부확인'!U$3,'2. 일별 광고 실적 입력'!$B:$B,'4. 광고 장부확인'!$A18)</f>
        <v/>
      </c>
      <c r="V18">
        <f>SUMIFS('2. 일별 광고 실적 입력'!$D:$D,'2. 일별 광고 실적 입력'!$C:$C,'4. 광고 장부확인'!V$3,'2. 일별 광고 실적 입력'!$B:$B,'4. 광고 장부확인'!$A18)</f>
        <v/>
      </c>
      <c r="W18">
        <f>SUMIFS('2. 일별 광고 실적 입력'!$D:$D,'2. 일별 광고 실적 입력'!$C:$C,'4. 광고 장부확인'!W$3,'2. 일별 광고 실적 입력'!$B:$B,'4. 광고 장부확인'!$A18)</f>
        <v/>
      </c>
      <c r="X18">
        <f>SUMIFS('2. 일별 광고 실적 입력'!$D:$D,'2. 일별 광고 실적 입력'!$C:$C,'4. 광고 장부확인'!X$3,'2. 일별 광고 실적 입력'!$B:$B,'4. 광고 장부확인'!$A18)</f>
        <v/>
      </c>
      <c r="Y18">
        <f>SUMIFS('2. 일별 광고 실적 입력'!$D:$D,'2. 일별 광고 실적 입력'!$C:$C,'4. 광고 장부확인'!Y$3,'2. 일별 광고 실적 입력'!$B:$B,'4. 광고 장부확인'!$A18)</f>
        <v/>
      </c>
      <c r="Z18">
        <f>SUMIFS('2. 일별 광고 실적 입력'!$D:$D,'2. 일별 광고 실적 입력'!$C:$C,'4. 광고 장부확인'!Z$3,'2. 일별 광고 실적 입력'!$B:$B,'4. 광고 장부확인'!$A18)</f>
        <v/>
      </c>
      <c r="AA18">
        <f>SUMIFS('2. 일별 광고 실적 입력'!$D:$D,'2. 일별 광고 실적 입력'!$C:$C,'4. 광고 장부확인'!AA$3,'2. 일별 광고 실적 입력'!$B:$B,'4. 광고 장부확인'!$A18)</f>
        <v/>
      </c>
      <c r="AB18">
        <f>SUMIFS('2. 일별 광고 실적 입력'!$D:$D,'2. 일별 광고 실적 입력'!$C:$C,'4. 광고 장부확인'!AB$3,'2. 일별 광고 실적 입력'!$B:$B,'4. 광고 장부확인'!$A18)</f>
        <v/>
      </c>
      <c r="AC18">
        <f>SUMIFS('2. 일별 광고 실적 입력'!$D:$D,'2. 일별 광고 실적 입력'!$C:$C,'4. 광고 장부확인'!AC$3,'2. 일별 광고 실적 입력'!$B:$B,'4. 광고 장부확인'!$A18)</f>
        <v/>
      </c>
      <c r="AD18">
        <f>SUMIFS('2. 일별 광고 실적 입력'!$D:$D,'2. 일별 광고 실적 입력'!$C:$C,'4. 광고 장부확인'!AD$3,'2. 일별 광고 실적 입력'!$B:$B,'4. 광고 장부확인'!$A18)</f>
        <v/>
      </c>
      <c r="AE18">
        <f>SUMIFS('2. 일별 광고 실적 입력'!$D:$D,'2. 일별 광고 실적 입력'!$C:$C,'4. 광고 장부확인'!AE$3,'2. 일별 광고 실적 입력'!$B:$B,'4. 광고 장부확인'!$A18)</f>
        <v/>
      </c>
      <c r="AF18">
        <f>SUMIFS('2. 일별 광고 실적 입력'!$D:$D,'2. 일별 광고 실적 입력'!$C:$C,'4. 광고 장부확인'!AF$3,'2. 일별 광고 실적 입력'!$B:$B,'4. 광고 장부확인'!$A18)</f>
        <v/>
      </c>
      <c r="AG18">
        <f>SUM(C18:AF18)</f>
        <v/>
      </c>
    </row>
    <row r="19">
      <c r="B19" t="inlineStr">
        <is>
          <t>광고수익률</t>
        </is>
      </c>
      <c r="C19">
        <f>SUMIFS('2. 일별 광고 실적 입력'!$N:$N,'2. 일별 광고 실적 입력'!$C:$C,'4. 광고 장부확인'!C$3,'2. 일별 광고 실적 입력'!$B:$B,'4. 광고 장부확인'!$A18)</f>
        <v/>
      </c>
      <c r="D19">
        <f>SUMIFS('2. 일별 광고 실적 입력'!$N:$N,'2. 일별 광고 실적 입력'!$C:$C,'4. 광고 장부확인'!D$3,'2. 일별 광고 실적 입력'!$B:$B,'4. 광고 장부확인'!$A18)</f>
        <v/>
      </c>
      <c r="E19">
        <f>SUMIFS('2. 일별 광고 실적 입력'!$N:$N,'2. 일별 광고 실적 입력'!$C:$C,'4. 광고 장부확인'!E$3,'2. 일별 광고 실적 입력'!$B:$B,'4. 광고 장부확인'!$A18)</f>
        <v/>
      </c>
      <c r="F19">
        <f>SUMIFS('2. 일별 광고 실적 입력'!$N:$N,'2. 일별 광고 실적 입력'!$C:$C,'4. 광고 장부확인'!F$3,'2. 일별 광고 실적 입력'!$B:$B,'4. 광고 장부확인'!$A18)</f>
        <v/>
      </c>
      <c r="G19">
        <f>SUMIFS('2. 일별 광고 실적 입력'!$N:$N,'2. 일별 광고 실적 입력'!$C:$C,'4. 광고 장부확인'!G$3,'2. 일별 광고 실적 입력'!$B:$B,'4. 광고 장부확인'!$A18)</f>
        <v/>
      </c>
      <c r="H19">
        <f>SUMIFS('2. 일별 광고 실적 입력'!$N:$N,'2. 일별 광고 실적 입력'!$C:$C,'4. 광고 장부확인'!H$3,'2. 일별 광고 실적 입력'!$B:$B,'4. 광고 장부확인'!$A18)</f>
        <v/>
      </c>
      <c r="I19">
        <f>SUMIFS('2. 일별 광고 실적 입력'!$N:$N,'2. 일별 광고 실적 입력'!$C:$C,'4. 광고 장부확인'!I$3,'2. 일별 광고 실적 입력'!$B:$B,'4. 광고 장부확인'!$A18)</f>
        <v/>
      </c>
      <c r="J19">
        <f>SUMIFS('2. 일별 광고 실적 입력'!$N:$N,'2. 일별 광고 실적 입력'!$C:$C,'4. 광고 장부확인'!J$3,'2. 일별 광고 실적 입력'!$B:$B,'4. 광고 장부확인'!$A18)</f>
        <v/>
      </c>
      <c r="K19">
        <f>SUMIFS('2. 일별 광고 실적 입력'!$N:$N,'2. 일별 광고 실적 입력'!$C:$C,'4. 광고 장부확인'!K$3,'2. 일별 광고 실적 입력'!$B:$B,'4. 광고 장부확인'!$A18)</f>
        <v/>
      </c>
      <c r="L19">
        <f>SUMIFS('2. 일별 광고 실적 입력'!$N:$N,'2. 일별 광고 실적 입력'!$C:$C,'4. 광고 장부확인'!L$3,'2. 일별 광고 실적 입력'!$B:$B,'4. 광고 장부확인'!$A18)</f>
        <v/>
      </c>
      <c r="M19">
        <f>SUMIFS('2. 일별 광고 실적 입력'!$N:$N,'2. 일별 광고 실적 입력'!$C:$C,'4. 광고 장부확인'!M$3,'2. 일별 광고 실적 입력'!$B:$B,'4. 광고 장부확인'!$A18)</f>
        <v/>
      </c>
      <c r="N19">
        <f>SUMIFS('2. 일별 광고 실적 입력'!$N:$N,'2. 일별 광고 실적 입력'!$C:$C,'4. 광고 장부확인'!N$3,'2. 일별 광고 실적 입력'!$B:$B,'4. 광고 장부확인'!$A18)</f>
        <v/>
      </c>
      <c r="O19">
        <f>SUMIFS('2. 일별 광고 실적 입력'!$N:$N,'2. 일별 광고 실적 입력'!$C:$C,'4. 광고 장부확인'!O$3,'2. 일별 광고 실적 입력'!$B:$B,'4. 광고 장부확인'!$A18)</f>
        <v/>
      </c>
      <c r="P19">
        <f>SUMIFS('2. 일별 광고 실적 입력'!$N:$N,'2. 일별 광고 실적 입력'!$C:$C,'4. 광고 장부확인'!P$3,'2. 일별 광고 실적 입력'!$B:$B,'4. 광고 장부확인'!$A18)</f>
        <v/>
      </c>
      <c r="Q19">
        <f>SUMIFS('2. 일별 광고 실적 입력'!$N:$N,'2. 일별 광고 실적 입력'!$C:$C,'4. 광고 장부확인'!Q$3,'2. 일별 광고 실적 입력'!$B:$B,'4. 광고 장부확인'!$A18)</f>
        <v/>
      </c>
      <c r="R19">
        <f>SUMIFS('2. 일별 광고 실적 입력'!$N:$N,'2. 일별 광고 실적 입력'!$C:$C,'4. 광고 장부확인'!R$3,'2. 일별 광고 실적 입력'!$B:$B,'4. 광고 장부확인'!$A18)</f>
        <v/>
      </c>
      <c r="S19">
        <f>SUMIFS('2. 일별 광고 실적 입력'!$N:$N,'2. 일별 광고 실적 입력'!$C:$C,'4. 광고 장부확인'!S$3,'2. 일별 광고 실적 입력'!$B:$B,'4. 광고 장부확인'!$A18)</f>
        <v/>
      </c>
      <c r="T19">
        <f>SUMIFS('2. 일별 광고 실적 입력'!$N:$N,'2. 일별 광고 실적 입력'!$C:$C,'4. 광고 장부확인'!T$3,'2. 일별 광고 실적 입력'!$B:$B,'4. 광고 장부확인'!$A18)</f>
        <v/>
      </c>
      <c r="U19">
        <f>SUMIFS('2. 일별 광고 실적 입력'!$N:$N,'2. 일별 광고 실적 입력'!$C:$C,'4. 광고 장부확인'!U$3,'2. 일별 광고 실적 입력'!$B:$B,'4. 광고 장부확인'!$A18)</f>
        <v/>
      </c>
      <c r="V19">
        <f>SUMIFS('2. 일별 광고 실적 입력'!$N:$N,'2. 일별 광고 실적 입력'!$C:$C,'4. 광고 장부확인'!V$3,'2. 일별 광고 실적 입력'!$B:$B,'4. 광고 장부확인'!$A18)</f>
        <v/>
      </c>
      <c r="W19">
        <f>SUMIFS('2. 일별 광고 실적 입력'!$N:$N,'2. 일별 광고 실적 입력'!$C:$C,'4. 광고 장부확인'!W$3,'2. 일별 광고 실적 입력'!$B:$B,'4. 광고 장부확인'!$A18)</f>
        <v/>
      </c>
      <c r="X19">
        <f>SUMIFS('2. 일별 광고 실적 입력'!$N:$N,'2. 일별 광고 실적 입력'!$C:$C,'4. 광고 장부확인'!X$3,'2. 일별 광고 실적 입력'!$B:$B,'4. 광고 장부확인'!$A18)</f>
        <v/>
      </c>
      <c r="Y19">
        <f>SUMIFS('2. 일별 광고 실적 입력'!$N:$N,'2. 일별 광고 실적 입력'!$C:$C,'4. 광고 장부확인'!Y$3,'2. 일별 광고 실적 입력'!$B:$B,'4. 광고 장부확인'!$A18)</f>
        <v/>
      </c>
      <c r="Z19">
        <f>SUMIFS('2. 일별 광고 실적 입력'!$N:$N,'2. 일별 광고 실적 입력'!$C:$C,'4. 광고 장부확인'!Z$3,'2. 일별 광고 실적 입력'!$B:$B,'4. 광고 장부확인'!$A18)</f>
        <v/>
      </c>
      <c r="AA19">
        <f>SUMIFS('2. 일별 광고 실적 입력'!$N:$N,'2. 일별 광고 실적 입력'!$C:$C,'4. 광고 장부확인'!AA$3,'2. 일별 광고 실적 입력'!$B:$B,'4. 광고 장부확인'!$A18)</f>
        <v/>
      </c>
      <c r="AB19">
        <f>SUMIFS('2. 일별 광고 실적 입력'!$N:$N,'2. 일별 광고 실적 입력'!$C:$C,'4. 광고 장부확인'!AB$3,'2. 일별 광고 실적 입력'!$B:$B,'4. 광고 장부확인'!$A18)</f>
        <v/>
      </c>
      <c r="AC19">
        <f>SUMIFS('2. 일별 광고 실적 입력'!$N:$N,'2. 일별 광고 실적 입력'!$C:$C,'4. 광고 장부확인'!AC$3,'2. 일별 광고 실적 입력'!$B:$B,'4. 광고 장부확인'!$A18)</f>
        <v/>
      </c>
      <c r="AD19">
        <f>SUMIFS('2. 일별 광고 실적 입력'!$N:$N,'2. 일별 광고 실적 입력'!$C:$C,'4. 광고 장부확인'!AD$3,'2. 일별 광고 실적 입력'!$B:$B,'4. 광고 장부확인'!$A18)</f>
        <v/>
      </c>
      <c r="AE19">
        <f>SUMIFS('2. 일별 광고 실적 입력'!$N:$N,'2. 일별 광고 실적 입력'!$C:$C,'4. 광고 장부확인'!AE$3,'2. 일별 광고 실적 입력'!$B:$B,'4. 광고 장부확인'!$A18)</f>
        <v/>
      </c>
      <c r="AF19">
        <f>SUMIFS('2. 일별 광고 실적 입력'!$N:$N,'2. 일별 광고 실적 입력'!$C:$C,'4. 광고 장부확인'!AF$3,'2. 일별 광고 실적 입력'!$B:$B,'4. 광고 장부확인'!$A18)</f>
        <v/>
      </c>
      <c r="AG19">
        <f>SUM(C19:AF19)</f>
        <v/>
      </c>
    </row>
    <row r="20">
      <c r="B20" t="inlineStr">
        <is>
          <t>광고예산</t>
        </is>
      </c>
      <c r="C20">
        <f>SUMIFS('2. 일별 광고 실적 입력'!$E:$E,'2. 일별 광고 실적 입력'!$C:$C,'4. 광고 장부확인'!C$3,'2. 일별 광고 실적 입력'!$B:$B,'4. 광고 장부확인'!$A18)</f>
        <v/>
      </c>
      <c r="D20">
        <f>SUMIFS('2. 일별 광고 실적 입력'!$E:$E,'2. 일별 광고 실적 입력'!$C:$C,'4. 광고 장부확인'!D$3,'2. 일별 광고 실적 입력'!$B:$B,'4. 광고 장부확인'!$A18)</f>
        <v/>
      </c>
      <c r="E20">
        <f>SUMIFS('2. 일별 광고 실적 입력'!$E:$E,'2. 일별 광고 실적 입력'!$C:$C,'4. 광고 장부확인'!E$3,'2. 일별 광고 실적 입력'!$B:$B,'4. 광고 장부확인'!$A18)</f>
        <v/>
      </c>
      <c r="F20">
        <f>SUMIFS('2. 일별 광고 실적 입력'!$E:$E,'2. 일별 광고 실적 입력'!$C:$C,'4. 광고 장부확인'!F$3,'2. 일별 광고 실적 입력'!$B:$B,'4. 광고 장부확인'!$A18)</f>
        <v/>
      </c>
      <c r="G20">
        <f>SUMIFS('2. 일별 광고 실적 입력'!$E:$E,'2. 일별 광고 실적 입력'!$C:$C,'4. 광고 장부확인'!G$3,'2. 일별 광고 실적 입력'!$B:$B,'4. 광고 장부확인'!$A18)</f>
        <v/>
      </c>
      <c r="H20">
        <f>SUMIFS('2. 일별 광고 실적 입력'!$E:$E,'2. 일별 광고 실적 입력'!$C:$C,'4. 광고 장부확인'!H$3,'2. 일별 광고 실적 입력'!$B:$B,'4. 광고 장부확인'!$A18)</f>
        <v/>
      </c>
      <c r="I20">
        <f>SUMIFS('2. 일별 광고 실적 입력'!$E:$E,'2. 일별 광고 실적 입력'!$C:$C,'4. 광고 장부확인'!I$3,'2. 일별 광고 실적 입력'!$B:$B,'4. 광고 장부확인'!$A18)</f>
        <v/>
      </c>
      <c r="J20">
        <f>SUMIFS('2. 일별 광고 실적 입력'!$E:$E,'2. 일별 광고 실적 입력'!$C:$C,'4. 광고 장부확인'!J$3,'2. 일별 광고 실적 입력'!$B:$B,'4. 광고 장부확인'!$A18)</f>
        <v/>
      </c>
      <c r="K20">
        <f>SUMIFS('2. 일별 광고 실적 입력'!$E:$E,'2. 일별 광고 실적 입력'!$C:$C,'4. 광고 장부확인'!K$3,'2. 일별 광고 실적 입력'!$B:$B,'4. 광고 장부확인'!$A18)</f>
        <v/>
      </c>
      <c r="L20">
        <f>SUMIFS('2. 일별 광고 실적 입력'!$E:$E,'2. 일별 광고 실적 입력'!$C:$C,'4. 광고 장부확인'!L$3,'2. 일별 광고 실적 입력'!$B:$B,'4. 광고 장부확인'!$A18)</f>
        <v/>
      </c>
      <c r="M20">
        <f>SUMIFS('2. 일별 광고 실적 입력'!$E:$E,'2. 일별 광고 실적 입력'!$C:$C,'4. 광고 장부확인'!M$3,'2. 일별 광고 실적 입력'!$B:$B,'4. 광고 장부확인'!$A18)</f>
        <v/>
      </c>
      <c r="N20">
        <f>SUMIFS('2. 일별 광고 실적 입력'!$E:$E,'2. 일별 광고 실적 입력'!$C:$C,'4. 광고 장부확인'!N$3,'2. 일별 광고 실적 입력'!$B:$B,'4. 광고 장부확인'!$A18)</f>
        <v/>
      </c>
      <c r="O20">
        <f>SUMIFS('2. 일별 광고 실적 입력'!$E:$E,'2. 일별 광고 실적 입력'!$C:$C,'4. 광고 장부확인'!O$3,'2. 일별 광고 실적 입력'!$B:$B,'4. 광고 장부확인'!$A18)</f>
        <v/>
      </c>
      <c r="P20">
        <f>SUMIFS('2. 일별 광고 실적 입력'!$E:$E,'2. 일별 광고 실적 입력'!$C:$C,'4. 광고 장부확인'!P$3,'2. 일별 광고 실적 입력'!$B:$B,'4. 광고 장부확인'!$A18)</f>
        <v/>
      </c>
      <c r="Q20">
        <f>SUMIFS('2. 일별 광고 실적 입력'!$E:$E,'2. 일별 광고 실적 입력'!$C:$C,'4. 광고 장부확인'!Q$3,'2. 일별 광고 실적 입력'!$B:$B,'4. 광고 장부확인'!$A18)</f>
        <v/>
      </c>
      <c r="R20">
        <f>SUMIFS('2. 일별 광고 실적 입력'!$E:$E,'2. 일별 광고 실적 입력'!$C:$C,'4. 광고 장부확인'!R$3,'2. 일별 광고 실적 입력'!$B:$B,'4. 광고 장부확인'!$A18)</f>
        <v/>
      </c>
      <c r="S20">
        <f>SUMIFS('2. 일별 광고 실적 입력'!$E:$E,'2. 일별 광고 실적 입력'!$C:$C,'4. 광고 장부확인'!S$3,'2. 일별 광고 실적 입력'!$B:$B,'4. 광고 장부확인'!$A18)</f>
        <v/>
      </c>
      <c r="T20">
        <f>SUMIFS('2. 일별 광고 실적 입력'!$E:$E,'2. 일별 광고 실적 입력'!$C:$C,'4. 광고 장부확인'!T$3,'2. 일별 광고 실적 입력'!$B:$B,'4. 광고 장부확인'!$A18)</f>
        <v/>
      </c>
      <c r="U20">
        <f>SUMIFS('2. 일별 광고 실적 입력'!$E:$E,'2. 일별 광고 실적 입력'!$C:$C,'4. 광고 장부확인'!U$3,'2. 일별 광고 실적 입력'!$B:$B,'4. 광고 장부확인'!$A18)</f>
        <v/>
      </c>
      <c r="V20">
        <f>SUMIFS('2. 일별 광고 실적 입력'!$E:$E,'2. 일별 광고 실적 입력'!$C:$C,'4. 광고 장부확인'!V$3,'2. 일별 광고 실적 입력'!$B:$B,'4. 광고 장부확인'!$A18)</f>
        <v/>
      </c>
      <c r="W20">
        <f>SUMIFS('2. 일별 광고 실적 입력'!$E:$E,'2. 일별 광고 실적 입력'!$C:$C,'4. 광고 장부확인'!W$3,'2. 일별 광고 실적 입력'!$B:$B,'4. 광고 장부확인'!$A18)</f>
        <v/>
      </c>
      <c r="X20">
        <f>SUMIFS('2. 일별 광고 실적 입력'!$E:$E,'2. 일별 광고 실적 입력'!$C:$C,'4. 광고 장부확인'!X$3,'2. 일별 광고 실적 입력'!$B:$B,'4. 광고 장부확인'!$A18)</f>
        <v/>
      </c>
      <c r="Y20">
        <f>SUMIFS('2. 일별 광고 실적 입력'!$E:$E,'2. 일별 광고 실적 입력'!$C:$C,'4. 광고 장부확인'!Y$3,'2. 일별 광고 실적 입력'!$B:$B,'4. 광고 장부확인'!$A18)</f>
        <v/>
      </c>
      <c r="Z20">
        <f>SUMIFS('2. 일별 광고 실적 입력'!$E:$E,'2. 일별 광고 실적 입력'!$C:$C,'4. 광고 장부확인'!Z$3,'2. 일별 광고 실적 입력'!$B:$B,'4. 광고 장부확인'!$A18)</f>
        <v/>
      </c>
      <c r="AA20">
        <f>SUMIFS('2. 일별 광고 실적 입력'!$E:$E,'2. 일별 광고 실적 입력'!$C:$C,'4. 광고 장부확인'!AA$3,'2. 일별 광고 실적 입력'!$B:$B,'4. 광고 장부확인'!$A18)</f>
        <v/>
      </c>
      <c r="AB20">
        <f>SUMIFS('2. 일별 광고 실적 입력'!$E:$E,'2. 일별 광고 실적 입력'!$C:$C,'4. 광고 장부확인'!AB$3,'2. 일별 광고 실적 입력'!$B:$B,'4. 광고 장부확인'!$A18)</f>
        <v/>
      </c>
      <c r="AC20">
        <f>SUMIFS('2. 일별 광고 실적 입력'!$E:$E,'2. 일별 광고 실적 입력'!$C:$C,'4. 광고 장부확인'!AC$3,'2. 일별 광고 실적 입력'!$B:$B,'4. 광고 장부확인'!$A18)</f>
        <v/>
      </c>
      <c r="AD20">
        <f>SUMIFS('2. 일별 광고 실적 입력'!$E:$E,'2. 일별 광고 실적 입력'!$C:$C,'4. 광고 장부확인'!AD$3,'2. 일별 광고 실적 입력'!$B:$B,'4. 광고 장부확인'!$A18)</f>
        <v/>
      </c>
      <c r="AE20">
        <f>SUMIFS('2. 일별 광고 실적 입력'!$E:$E,'2. 일별 광고 실적 입력'!$C:$C,'4. 광고 장부확인'!AE$3,'2. 일별 광고 실적 입력'!$B:$B,'4. 광고 장부확인'!$A18)</f>
        <v/>
      </c>
      <c r="AF20">
        <f>SUMIFS('2. 일별 광고 실적 입력'!$E:$E,'2. 일별 광고 실적 입력'!$C:$C,'4. 광고 장부확인'!AF$3,'2. 일별 광고 실적 입력'!$B:$B,'4. 광고 장부확인'!$A18)</f>
        <v/>
      </c>
      <c r="AG20">
        <f>SUM(C20:AF20)</f>
        <v/>
      </c>
    </row>
    <row r="21">
      <c r="B21" t="inlineStr">
        <is>
          <t>집행 광고비*10%</t>
        </is>
      </c>
      <c r="C21">
        <f>SUMIFS('2. 일별 광고 실적 입력'!$M:$M,'2. 일별 광고 실적 입력'!$C:$C,'4. 광고 장부확인'!C$3,'2. 일별 광고 실적 입력'!$B:$B,'4. 광고 장부확인'!$A18)</f>
        <v/>
      </c>
      <c r="D21">
        <f>SUMIFS('2. 일별 광고 실적 입력'!$M:$M,'2. 일별 광고 실적 입력'!$C:$C,'4. 광고 장부확인'!D$3,'2. 일별 광고 실적 입력'!$B:$B,'4. 광고 장부확인'!$A18)</f>
        <v/>
      </c>
      <c r="E21">
        <f>SUMIFS('2. 일별 광고 실적 입력'!$M:$M,'2. 일별 광고 실적 입력'!$C:$C,'4. 광고 장부확인'!E$3,'2. 일별 광고 실적 입력'!$B:$B,'4. 광고 장부확인'!$A18)</f>
        <v/>
      </c>
      <c r="F21">
        <f>SUMIFS('2. 일별 광고 실적 입력'!$M:$M,'2. 일별 광고 실적 입력'!$C:$C,'4. 광고 장부확인'!F$3,'2. 일별 광고 실적 입력'!$B:$B,'4. 광고 장부확인'!$A18)</f>
        <v/>
      </c>
      <c r="G21">
        <f>SUMIFS('2. 일별 광고 실적 입력'!$M:$M,'2. 일별 광고 실적 입력'!$C:$C,'4. 광고 장부확인'!G$3,'2. 일별 광고 실적 입력'!$B:$B,'4. 광고 장부확인'!$A18)</f>
        <v/>
      </c>
      <c r="H21">
        <f>SUMIFS('2. 일별 광고 실적 입력'!$M:$M,'2. 일별 광고 실적 입력'!$C:$C,'4. 광고 장부확인'!H$3,'2. 일별 광고 실적 입력'!$B:$B,'4. 광고 장부확인'!$A18)</f>
        <v/>
      </c>
      <c r="I21">
        <f>SUMIFS('2. 일별 광고 실적 입력'!$M:$M,'2. 일별 광고 실적 입력'!$C:$C,'4. 광고 장부확인'!I$3,'2. 일별 광고 실적 입력'!$B:$B,'4. 광고 장부확인'!$A18)</f>
        <v/>
      </c>
      <c r="J21">
        <f>SUMIFS('2. 일별 광고 실적 입력'!$M:$M,'2. 일별 광고 실적 입력'!$C:$C,'4. 광고 장부확인'!J$3,'2. 일별 광고 실적 입력'!$B:$B,'4. 광고 장부확인'!$A18)</f>
        <v/>
      </c>
      <c r="K21">
        <f>SUMIFS('2. 일별 광고 실적 입력'!$M:$M,'2. 일별 광고 실적 입력'!$C:$C,'4. 광고 장부확인'!K$3,'2. 일별 광고 실적 입력'!$B:$B,'4. 광고 장부확인'!$A18)</f>
        <v/>
      </c>
      <c r="L21">
        <f>SUMIFS('2. 일별 광고 실적 입력'!$M:$M,'2. 일별 광고 실적 입력'!$C:$C,'4. 광고 장부확인'!L$3,'2. 일별 광고 실적 입력'!$B:$B,'4. 광고 장부확인'!$A18)</f>
        <v/>
      </c>
      <c r="M21">
        <f>SUMIFS('2. 일별 광고 실적 입력'!$M:$M,'2. 일별 광고 실적 입력'!$C:$C,'4. 광고 장부확인'!M$3,'2. 일별 광고 실적 입력'!$B:$B,'4. 광고 장부확인'!$A18)</f>
        <v/>
      </c>
      <c r="N21">
        <f>SUMIFS('2. 일별 광고 실적 입력'!$M:$M,'2. 일별 광고 실적 입력'!$C:$C,'4. 광고 장부확인'!N$3,'2. 일별 광고 실적 입력'!$B:$B,'4. 광고 장부확인'!$A18)</f>
        <v/>
      </c>
      <c r="O21">
        <f>SUMIFS('2. 일별 광고 실적 입력'!$M:$M,'2. 일별 광고 실적 입력'!$C:$C,'4. 광고 장부확인'!O$3,'2. 일별 광고 실적 입력'!$B:$B,'4. 광고 장부확인'!$A18)</f>
        <v/>
      </c>
      <c r="P21">
        <f>SUMIFS('2. 일별 광고 실적 입력'!$M:$M,'2. 일별 광고 실적 입력'!$C:$C,'4. 광고 장부확인'!P$3,'2. 일별 광고 실적 입력'!$B:$B,'4. 광고 장부확인'!$A18)</f>
        <v/>
      </c>
      <c r="Q21">
        <f>SUMIFS('2. 일별 광고 실적 입력'!$M:$M,'2. 일별 광고 실적 입력'!$C:$C,'4. 광고 장부확인'!Q$3,'2. 일별 광고 실적 입력'!$B:$B,'4. 광고 장부확인'!$A18)</f>
        <v/>
      </c>
      <c r="R21">
        <f>SUMIFS('2. 일별 광고 실적 입력'!$M:$M,'2. 일별 광고 실적 입력'!$C:$C,'4. 광고 장부확인'!R$3,'2. 일별 광고 실적 입력'!$B:$B,'4. 광고 장부확인'!$A18)</f>
        <v/>
      </c>
      <c r="S21">
        <f>SUMIFS('2. 일별 광고 실적 입력'!$M:$M,'2. 일별 광고 실적 입력'!$C:$C,'4. 광고 장부확인'!S$3,'2. 일별 광고 실적 입력'!$B:$B,'4. 광고 장부확인'!$A18)</f>
        <v/>
      </c>
      <c r="T21">
        <f>SUMIFS('2. 일별 광고 실적 입력'!$M:$M,'2. 일별 광고 실적 입력'!$C:$C,'4. 광고 장부확인'!T$3,'2. 일별 광고 실적 입력'!$B:$B,'4. 광고 장부확인'!$A18)</f>
        <v/>
      </c>
      <c r="U21">
        <f>SUMIFS('2. 일별 광고 실적 입력'!$M:$M,'2. 일별 광고 실적 입력'!$C:$C,'4. 광고 장부확인'!U$3,'2. 일별 광고 실적 입력'!$B:$B,'4. 광고 장부확인'!$A18)</f>
        <v/>
      </c>
      <c r="V21">
        <f>SUMIFS('2. 일별 광고 실적 입력'!$M:$M,'2. 일별 광고 실적 입력'!$C:$C,'4. 광고 장부확인'!V$3,'2. 일별 광고 실적 입력'!$B:$B,'4. 광고 장부확인'!$A18)</f>
        <v/>
      </c>
      <c r="W21">
        <f>SUMIFS('2. 일별 광고 실적 입력'!$M:$M,'2. 일별 광고 실적 입력'!$C:$C,'4. 광고 장부확인'!W$3,'2. 일별 광고 실적 입력'!$B:$B,'4. 광고 장부확인'!$A18)</f>
        <v/>
      </c>
      <c r="X21">
        <f>SUMIFS('2. 일별 광고 실적 입력'!$M:$M,'2. 일별 광고 실적 입력'!$C:$C,'4. 광고 장부확인'!X$3,'2. 일별 광고 실적 입력'!$B:$B,'4. 광고 장부확인'!$A18)</f>
        <v/>
      </c>
      <c r="Y21">
        <f>SUMIFS('2. 일별 광고 실적 입력'!$M:$M,'2. 일별 광고 실적 입력'!$C:$C,'4. 광고 장부확인'!Y$3,'2. 일별 광고 실적 입력'!$B:$B,'4. 광고 장부확인'!$A18)</f>
        <v/>
      </c>
      <c r="Z21">
        <f>SUMIFS('2. 일별 광고 실적 입력'!$M:$M,'2. 일별 광고 실적 입력'!$C:$C,'4. 광고 장부확인'!Z$3,'2. 일별 광고 실적 입력'!$B:$B,'4. 광고 장부확인'!$A18)</f>
        <v/>
      </c>
      <c r="AA21">
        <f>SUMIFS('2. 일별 광고 실적 입력'!$M:$M,'2. 일별 광고 실적 입력'!$C:$C,'4. 광고 장부확인'!AA$3,'2. 일별 광고 실적 입력'!$B:$B,'4. 광고 장부확인'!$A18)</f>
        <v/>
      </c>
      <c r="AB21">
        <f>SUMIFS('2. 일별 광고 실적 입력'!$M:$M,'2. 일별 광고 실적 입력'!$C:$C,'4. 광고 장부확인'!AB$3,'2. 일별 광고 실적 입력'!$B:$B,'4. 광고 장부확인'!$A18)</f>
        <v/>
      </c>
      <c r="AC21">
        <f>SUMIFS('2. 일별 광고 실적 입력'!$M:$M,'2. 일별 광고 실적 입력'!$C:$C,'4. 광고 장부확인'!AC$3,'2. 일별 광고 실적 입력'!$B:$B,'4. 광고 장부확인'!$A18)</f>
        <v/>
      </c>
      <c r="AD21">
        <f>SUMIFS('2. 일별 광고 실적 입력'!$M:$M,'2. 일별 광고 실적 입력'!$C:$C,'4. 광고 장부확인'!AD$3,'2. 일별 광고 실적 입력'!$B:$B,'4. 광고 장부확인'!$A18)</f>
        <v/>
      </c>
      <c r="AE21">
        <f>SUMIFS('2. 일별 광고 실적 입력'!$M:$M,'2. 일별 광고 실적 입력'!$C:$C,'4. 광고 장부확인'!AE$3,'2. 일별 광고 실적 입력'!$B:$B,'4. 광고 장부확인'!$A18)</f>
        <v/>
      </c>
      <c r="AF21">
        <f>SUMIFS('2. 일별 광고 실적 입력'!$M:$M,'2. 일별 광고 실적 입력'!$C:$C,'4. 광고 장부확인'!AF$3,'2. 일별 광고 실적 입력'!$B:$B,'4. 광고 장부확인'!$A18)</f>
        <v/>
      </c>
      <c r="AG21">
        <f>SUM(C21:AF21)</f>
        <v/>
      </c>
    </row>
    <row r="22">
      <c r="B22" t="inlineStr">
        <is>
          <t>CPC 단가</t>
        </is>
      </c>
      <c r="C22">
        <f>SUMIFS('2. 일별 광고 실적 입력'!$P:$P,'2. 일별 광고 실적 입력'!$C:$C,'4. 광고 장부확인'!C$3,'2. 일별 광고 실적 입력'!$B:$B,'4. 광고 장부확인'!$A18)</f>
        <v/>
      </c>
      <c r="D22">
        <f>SUMIFS('2. 일별 광고 실적 입력'!$P:$P,'2. 일별 광고 실적 입력'!$C:$C,'4. 광고 장부확인'!D$3,'2. 일별 광고 실적 입력'!$B:$B,'4. 광고 장부확인'!$A18)</f>
        <v/>
      </c>
      <c r="E22">
        <f>SUMIFS('2. 일별 광고 실적 입력'!$P:$P,'2. 일별 광고 실적 입력'!$C:$C,'4. 광고 장부확인'!E$3,'2. 일별 광고 실적 입력'!$B:$B,'4. 광고 장부확인'!$A18)</f>
        <v/>
      </c>
      <c r="F22">
        <f>SUMIFS('2. 일별 광고 실적 입력'!$P:$P,'2. 일별 광고 실적 입력'!$C:$C,'4. 광고 장부확인'!F$3,'2. 일별 광고 실적 입력'!$B:$B,'4. 광고 장부확인'!$A18)</f>
        <v/>
      </c>
      <c r="G22">
        <f>SUMIFS('2. 일별 광고 실적 입력'!$P:$P,'2. 일별 광고 실적 입력'!$C:$C,'4. 광고 장부확인'!G$3,'2. 일별 광고 실적 입력'!$B:$B,'4. 광고 장부확인'!$A18)</f>
        <v/>
      </c>
      <c r="H22">
        <f>SUMIFS('2. 일별 광고 실적 입력'!$P:$P,'2. 일별 광고 실적 입력'!$C:$C,'4. 광고 장부확인'!H$3,'2. 일별 광고 실적 입력'!$B:$B,'4. 광고 장부확인'!$A18)</f>
        <v/>
      </c>
      <c r="I22">
        <f>SUMIFS('2. 일별 광고 실적 입력'!$P:$P,'2. 일별 광고 실적 입력'!$C:$C,'4. 광고 장부확인'!I$3,'2. 일별 광고 실적 입력'!$B:$B,'4. 광고 장부확인'!$A18)</f>
        <v/>
      </c>
      <c r="J22">
        <f>SUMIFS('2. 일별 광고 실적 입력'!$P:$P,'2. 일별 광고 실적 입력'!$C:$C,'4. 광고 장부확인'!J$3,'2. 일별 광고 실적 입력'!$B:$B,'4. 광고 장부확인'!$A18)</f>
        <v/>
      </c>
      <c r="K22">
        <f>SUMIFS('2. 일별 광고 실적 입력'!$P:$P,'2. 일별 광고 실적 입력'!$C:$C,'4. 광고 장부확인'!K$3,'2. 일별 광고 실적 입력'!$B:$B,'4. 광고 장부확인'!$A18)</f>
        <v/>
      </c>
      <c r="L22">
        <f>SUMIFS('2. 일별 광고 실적 입력'!$P:$P,'2. 일별 광고 실적 입력'!$C:$C,'4. 광고 장부확인'!L$3,'2. 일별 광고 실적 입력'!$B:$B,'4. 광고 장부확인'!$A18)</f>
        <v/>
      </c>
      <c r="M22">
        <f>SUMIFS('2. 일별 광고 실적 입력'!$P:$P,'2. 일별 광고 실적 입력'!$C:$C,'4. 광고 장부확인'!M$3,'2. 일별 광고 실적 입력'!$B:$B,'4. 광고 장부확인'!$A18)</f>
        <v/>
      </c>
      <c r="N22">
        <f>SUMIFS('2. 일별 광고 실적 입력'!$P:$P,'2. 일별 광고 실적 입력'!$C:$C,'4. 광고 장부확인'!N$3,'2. 일별 광고 실적 입력'!$B:$B,'4. 광고 장부확인'!$A18)</f>
        <v/>
      </c>
      <c r="O22">
        <f>SUMIFS('2. 일별 광고 실적 입력'!$P:$P,'2. 일별 광고 실적 입력'!$C:$C,'4. 광고 장부확인'!O$3,'2. 일별 광고 실적 입력'!$B:$B,'4. 광고 장부확인'!$A18)</f>
        <v/>
      </c>
      <c r="P22">
        <f>SUMIFS('2. 일별 광고 실적 입력'!$P:$P,'2. 일별 광고 실적 입력'!$C:$C,'4. 광고 장부확인'!P$3,'2. 일별 광고 실적 입력'!$B:$B,'4. 광고 장부확인'!$A18)</f>
        <v/>
      </c>
      <c r="Q22">
        <f>SUMIFS('2. 일별 광고 실적 입력'!$P:$P,'2. 일별 광고 실적 입력'!$C:$C,'4. 광고 장부확인'!Q$3,'2. 일별 광고 실적 입력'!$B:$B,'4. 광고 장부확인'!$A18)</f>
        <v/>
      </c>
      <c r="R22">
        <f>SUMIFS('2. 일별 광고 실적 입력'!$P:$P,'2. 일별 광고 실적 입력'!$C:$C,'4. 광고 장부확인'!R$3,'2. 일별 광고 실적 입력'!$B:$B,'4. 광고 장부확인'!$A18)</f>
        <v/>
      </c>
      <c r="S22">
        <f>SUMIFS('2. 일별 광고 실적 입력'!$P:$P,'2. 일별 광고 실적 입력'!$C:$C,'4. 광고 장부확인'!S$3,'2. 일별 광고 실적 입력'!$B:$B,'4. 광고 장부확인'!$A18)</f>
        <v/>
      </c>
      <c r="T22">
        <f>SUMIFS('2. 일별 광고 실적 입력'!$P:$P,'2. 일별 광고 실적 입력'!$C:$C,'4. 광고 장부확인'!T$3,'2. 일별 광고 실적 입력'!$B:$B,'4. 광고 장부확인'!$A18)</f>
        <v/>
      </c>
      <c r="U22">
        <f>SUMIFS('2. 일별 광고 실적 입력'!$P:$P,'2. 일별 광고 실적 입력'!$C:$C,'4. 광고 장부확인'!U$3,'2. 일별 광고 실적 입력'!$B:$B,'4. 광고 장부확인'!$A18)</f>
        <v/>
      </c>
      <c r="V22">
        <f>SUMIFS('2. 일별 광고 실적 입력'!$P:$P,'2. 일별 광고 실적 입력'!$C:$C,'4. 광고 장부확인'!V$3,'2. 일별 광고 실적 입력'!$B:$B,'4. 광고 장부확인'!$A18)</f>
        <v/>
      </c>
      <c r="W22">
        <f>SUMIFS('2. 일별 광고 실적 입력'!$P:$P,'2. 일별 광고 실적 입력'!$C:$C,'4. 광고 장부확인'!W$3,'2. 일별 광고 실적 입력'!$B:$B,'4. 광고 장부확인'!$A18)</f>
        <v/>
      </c>
      <c r="X22">
        <f>SUMIFS('2. 일별 광고 실적 입력'!$P:$P,'2. 일별 광고 실적 입력'!$C:$C,'4. 광고 장부확인'!X$3,'2. 일별 광고 실적 입력'!$B:$B,'4. 광고 장부확인'!$A18)</f>
        <v/>
      </c>
      <c r="Y22">
        <f>SUMIFS('2. 일별 광고 실적 입력'!$P:$P,'2. 일별 광고 실적 입력'!$C:$C,'4. 광고 장부확인'!Y$3,'2. 일별 광고 실적 입력'!$B:$B,'4. 광고 장부확인'!$A18)</f>
        <v/>
      </c>
      <c r="Z22">
        <f>SUMIFS('2. 일별 광고 실적 입력'!$P:$P,'2. 일별 광고 실적 입력'!$C:$C,'4. 광고 장부확인'!Z$3,'2. 일별 광고 실적 입력'!$B:$B,'4. 광고 장부확인'!$A18)</f>
        <v/>
      </c>
      <c r="AA22">
        <f>SUMIFS('2. 일별 광고 실적 입력'!$P:$P,'2. 일별 광고 실적 입력'!$C:$C,'4. 광고 장부확인'!AA$3,'2. 일별 광고 실적 입력'!$B:$B,'4. 광고 장부확인'!$A18)</f>
        <v/>
      </c>
      <c r="AB22">
        <f>SUMIFS('2. 일별 광고 실적 입력'!$P:$P,'2. 일별 광고 실적 입력'!$C:$C,'4. 광고 장부확인'!AB$3,'2. 일별 광고 실적 입력'!$B:$B,'4. 광고 장부확인'!$A18)</f>
        <v/>
      </c>
      <c r="AC22">
        <f>SUMIFS('2. 일별 광고 실적 입력'!$P:$P,'2. 일별 광고 실적 입력'!$C:$C,'4. 광고 장부확인'!AC$3,'2. 일별 광고 실적 입력'!$B:$B,'4. 광고 장부확인'!$A18)</f>
        <v/>
      </c>
      <c r="AD22">
        <f>SUMIFS('2. 일별 광고 실적 입력'!$P:$P,'2. 일별 광고 실적 입력'!$C:$C,'4. 광고 장부확인'!AD$3,'2. 일별 광고 실적 입력'!$B:$B,'4. 광고 장부확인'!$A18)</f>
        <v/>
      </c>
      <c r="AE22">
        <f>SUMIFS('2. 일별 광고 실적 입력'!$P:$P,'2. 일별 광고 실적 입력'!$C:$C,'4. 광고 장부확인'!AE$3,'2. 일별 광고 실적 입력'!$B:$B,'4. 광고 장부확인'!$A18)</f>
        <v/>
      </c>
      <c r="AF22">
        <f>SUMIFS('2. 일별 광고 실적 입력'!$P:$P,'2. 일별 광고 실적 입력'!$C:$C,'4. 광고 장부확인'!AF$3,'2. 일별 광고 실적 입력'!$B:$B,'4. 광고 장부확인'!$A18)</f>
        <v/>
      </c>
      <c r="AG22">
        <f>SUM(C22:AF22)</f>
        <v/>
      </c>
    </row>
    <row r="23">
      <c r="B23" t="inlineStr">
        <is>
          <t>노출수</t>
        </is>
      </c>
      <c r="C23">
        <f>SUMIFS('2. 일별 광고 실적 입력'!$J:$J,'2. 일별 광고 실적 입력'!$C:$C,'4. 광고 장부확인'!C$3,'2. 일별 광고 실적 입력'!$B:$B,'4. 광고 장부확인'!$A18)</f>
        <v/>
      </c>
      <c r="D23">
        <f>SUMIFS('2. 일별 광고 실적 입력'!$J:$J,'2. 일별 광고 실적 입력'!$C:$C,'4. 광고 장부확인'!D$3,'2. 일별 광고 실적 입력'!$B:$B,'4. 광고 장부확인'!$A18)</f>
        <v/>
      </c>
      <c r="E23">
        <f>SUMIFS('2. 일별 광고 실적 입력'!$J:$J,'2. 일별 광고 실적 입력'!$C:$C,'4. 광고 장부확인'!E$3,'2. 일별 광고 실적 입력'!$B:$B,'4. 광고 장부확인'!$A18)</f>
        <v/>
      </c>
      <c r="F23">
        <f>SUMIFS('2. 일별 광고 실적 입력'!$J:$J,'2. 일별 광고 실적 입력'!$C:$C,'4. 광고 장부확인'!F$3,'2. 일별 광고 실적 입력'!$B:$B,'4. 광고 장부확인'!$A18)</f>
        <v/>
      </c>
      <c r="G23">
        <f>SUMIFS('2. 일별 광고 실적 입력'!$J:$J,'2. 일별 광고 실적 입력'!$C:$C,'4. 광고 장부확인'!G$3,'2. 일별 광고 실적 입력'!$B:$B,'4. 광고 장부확인'!$A18)</f>
        <v/>
      </c>
      <c r="H23">
        <f>SUMIFS('2. 일별 광고 실적 입력'!$J:$J,'2. 일별 광고 실적 입력'!$C:$C,'4. 광고 장부확인'!H$3,'2. 일별 광고 실적 입력'!$B:$B,'4. 광고 장부확인'!$A18)</f>
        <v/>
      </c>
      <c r="I23">
        <f>SUMIFS('2. 일별 광고 실적 입력'!$J:$J,'2. 일별 광고 실적 입력'!$C:$C,'4. 광고 장부확인'!I$3,'2. 일별 광고 실적 입력'!$B:$B,'4. 광고 장부확인'!$A18)</f>
        <v/>
      </c>
      <c r="J23">
        <f>SUMIFS('2. 일별 광고 실적 입력'!$J:$J,'2. 일별 광고 실적 입력'!$C:$C,'4. 광고 장부확인'!J$3,'2. 일별 광고 실적 입력'!$B:$B,'4. 광고 장부확인'!$A18)</f>
        <v/>
      </c>
      <c r="K23">
        <f>SUMIFS('2. 일별 광고 실적 입력'!$J:$J,'2. 일별 광고 실적 입력'!$C:$C,'4. 광고 장부확인'!K$3,'2. 일별 광고 실적 입력'!$B:$B,'4. 광고 장부확인'!$A18)</f>
        <v/>
      </c>
      <c r="L23">
        <f>SUMIFS('2. 일별 광고 실적 입력'!$J:$J,'2. 일별 광고 실적 입력'!$C:$C,'4. 광고 장부확인'!L$3,'2. 일별 광고 실적 입력'!$B:$B,'4. 광고 장부확인'!$A18)</f>
        <v/>
      </c>
      <c r="M23">
        <f>SUMIFS('2. 일별 광고 실적 입력'!$J:$J,'2. 일별 광고 실적 입력'!$C:$C,'4. 광고 장부확인'!M$3,'2. 일별 광고 실적 입력'!$B:$B,'4. 광고 장부확인'!$A18)</f>
        <v/>
      </c>
      <c r="N23">
        <f>SUMIFS('2. 일별 광고 실적 입력'!$J:$J,'2. 일별 광고 실적 입력'!$C:$C,'4. 광고 장부확인'!N$3,'2. 일별 광고 실적 입력'!$B:$B,'4. 광고 장부확인'!$A18)</f>
        <v/>
      </c>
      <c r="O23">
        <f>SUMIFS('2. 일별 광고 실적 입력'!$J:$J,'2. 일별 광고 실적 입력'!$C:$C,'4. 광고 장부확인'!O$3,'2. 일별 광고 실적 입력'!$B:$B,'4. 광고 장부확인'!$A18)</f>
        <v/>
      </c>
      <c r="P23">
        <f>SUMIFS('2. 일별 광고 실적 입력'!$J:$J,'2. 일별 광고 실적 입력'!$C:$C,'4. 광고 장부확인'!P$3,'2. 일별 광고 실적 입력'!$B:$B,'4. 광고 장부확인'!$A18)</f>
        <v/>
      </c>
      <c r="Q23">
        <f>SUMIFS('2. 일별 광고 실적 입력'!$J:$J,'2. 일별 광고 실적 입력'!$C:$C,'4. 광고 장부확인'!Q$3,'2. 일별 광고 실적 입력'!$B:$B,'4. 광고 장부확인'!$A18)</f>
        <v/>
      </c>
      <c r="R23">
        <f>SUMIFS('2. 일별 광고 실적 입력'!$J:$J,'2. 일별 광고 실적 입력'!$C:$C,'4. 광고 장부확인'!R$3,'2. 일별 광고 실적 입력'!$B:$B,'4. 광고 장부확인'!$A18)</f>
        <v/>
      </c>
      <c r="S23">
        <f>SUMIFS('2. 일별 광고 실적 입력'!$J:$J,'2. 일별 광고 실적 입력'!$C:$C,'4. 광고 장부확인'!S$3,'2. 일별 광고 실적 입력'!$B:$B,'4. 광고 장부확인'!$A18)</f>
        <v/>
      </c>
      <c r="T23">
        <f>SUMIFS('2. 일별 광고 실적 입력'!$J:$J,'2. 일별 광고 실적 입력'!$C:$C,'4. 광고 장부확인'!T$3,'2. 일별 광고 실적 입력'!$B:$B,'4. 광고 장부확인'!$A18)</f>
        <v/>
      </c>
      <c r="U23">
        <f>SUMIFS('2. 일별 광고 실적 입력'!$J:$J,'2. 일별 광고 실적 입력'!$C:$C,'4. 광고 장부확인'!U$3,'2. 일별 광고 실적 입력'!$B:$B,'4. 광고 장부확인'!$A18)</f>
        <v/>
      </c>
      <c r="V23">
        <f>SUMIFS('2. 일별 광고 실적 입력'!$J:$J,'2. 일별 광고 실적 입력'!$C:$C,'4. 광고 장부확인'!V$3,'2. 일별 광고 실적 입력'!$B:$B,'4. 광고 장부확인'!$A18)</f>
        <v/>
      </c>
      <c r="W23">
        <f>SUMIFS('2. 일별 광고 실적 입력'!$J:$J,'2. 일별 광고 실적 입력'!$C:$C,'4. 광고 장부확인'!W$3,'2. 일별 광고 실적 입력'!$B:$B,'4. 광고 장부확인'!$A18)</f>
        <v/>
      </c>
      <c r="X23">
        <f>SUMIFS('2. 일별 광고 실적 입력'!$J:$J,'2. 일별 광고 실적 입력'!$C:$C,'4. 광고 장부확인'!X$3,'2. 일별 광고 실적 입력'!$B:$B,'4. 광고 장부확인'!$A18)</f>
        <v/>
      </c>
      <c r="Y23">
        <f>SUMIFS('2. 일별 광고 실적 입력'!$J:$J,'2. 일별 광고 실적 입력'!$C:$C,'4. 광고 장부확인'!Y$3,'2. 일별 광고 실적 입력'!$B:$B,'4. 광고 장부확인'!$A18)</f>
        <v/>
      </c>
      <c r="Z23">
        <f>SUMIFS('2. 일별 광고 실적 입력'!$J:$J,'2. 일별 광고 실적 입력'!$C:$C,'4. 광고 장부확인'!Z$3,'2. 일별 광고 실적 입력'!$B:$B,'4. 광고 장부확인'!$A18)</f>
        <v/>
      </c>
      <c r="AA23">
        <f>SUMIFS('2. 일별 광고 실적 입력'!$J:$J,'2. 일별 광고 실적 입력'!$C:$C,'4. 광고 장부확인'!AA$3,'2. 일별 광고 실적 입력'!$B:$B,'4. 광고 장부확인'!$A18)</f>
        <v/>
      </c>
      <c r="AB23">
        <f>SUMIFS('2. 일별 광고 실적 입력'!$J:$J,'2. 일별 광고 실적 입력'!$C:$C,'4. 광고 장부확인'!AB$3,'2. 일별 광고 실적 입력'!$B:$B,'4. 광고 장부확인'!$A18)</f>
        <v/>
      </c>
      <c r="AC23">
        <f>SUMIFS('2. 일별 광고 실적 입력'!$J:$J,'2. 일별 광고 실적 입력'!$C:$C,'4. 광고 장부확인'!AC$3,'2. 일별 광고 실적 입력'!$B:$B,'4. 광고 장부확인'!$A18)</f>
        <v/>
      </c>
      <c r="AD23">
        <f>SUMIFS('2. 일별 광고 실적 입력'!$J:$J,'2. 일별 광고 실적 입력'!$C:$C,'4. 광고 장부확인'!AD$3,'2. 일별 광고 실적 입력'!$B:$B,'4. 광고 장부확인'!$A18)</f>
        <v/>
      </c>
      <c r="AE23">
        <f>SUMIFS('2. 일별 광고 실적 입력'!$J:$J,'2. 일별 광고 실적 입력'!$C:$C,'4. 광고 장부확인'!AE$3,'2. 일별 광고 실적 입력'!$B:$B,'4. 광고 장부확인'!$A18)</f>
        <v/>
      </c>
      <c r="AF23">
        <f>SUMIFS('2. 일별 광고 실적 입력'!$J:$J,'2. 일별 광고 실적 입력'!$C:$C,'4. 광고 장부확인'!AF$3,'2. 일별 광고 실적 입력'!$B:$B,'4. 광고 장부확인'!$A18)</f>
        <v/>
      </c>
      <c r="AG23">
        <f>SUM(C23:AF23)</f>
        <v/>
      </c>
    </row>
    <row r="24">
      <c r="B24" t="inlineStr">
        <is>
          <t>클릭률</t>
        </is>
      </c>
      <c r="C24">
        <f>SUMIFS('2. 일별 광고 실적 입력'!$I:$I,'2. 일별 광고 실적 입력'!$C:$C,'4. 광고 장부확인'!C$3,'2. 일별 광고 실적 입력'!$B:$B,'4. 광고 장부확인'!$A18)</f>
        <v/>
      </c>
      <c r="D24">
        <f>SUMIFS('2. 일별 광고 실적 입력'!$I:$I,'2. 일별 광고 실적 입력'!$C:$C,'4. 광고 장부확인'!D$3,'2. 일별 광고 실적 입력'!$B:$B,'4. 광고 장부확인'!$A18)</f>
        <v/>
      </c>
      <c r="E24">
        <f>SUMIFS('2. 일별 광고 실적 입력'!$I:$I,'2. 일별 광고 실적 입력'!$C:$C,'4. 광고 장부확인'!E$3,'2. 일별 광고 실적 입력'!$B:$B,'4. 광고 장부확인'!$A18)</f>
        <v/>
      </c>
      <c r="F24">
        <f>SUMIFS('2. 일별 광고 실적 입력'!$I:$I,'2. 일별 광고 실적 입력'!$C:$C,'4. 광고 장부확인'!F$3,'2. 일별 광고 실적 입력'!$B:$B,'4. 광고 장부확인'!$A18)</f>
        <v/>
      </c>
      <c r="G24">
        <f>SUMIFS('2. 일별 광고 실적 입력'!$I:$I,'2. 일별 광고 실적 입력'!$C:$C,'4. 광고 장부확인'!G$3,'2. 일별 광고 실적 입력'!$B:$B,'4. 광고 장부확인'!$A18)</f>
        <v/>
      </c>
      <c r="H24">
        <f>SUMIFS('2. 일별 광고 실적 입력'!$I:$I,'2. 일별 광고 실적 입력'!$C:$C,'4. 광고 장부확인'!H$3,'2. 일별 광고 실적 입력'!$B:$B,'4. 광고 장부확인'!$A18)</f>
        <v/>
      </c>
      <c r="I24">
        <f>SUMIFS('2. 일별 광고 실적 입력'!$I:$I,'2. 일별 광고 실적 입력'!$C:$C,'4. 광고 장부확인'!I$3,'2. 일별 광고 실적 입력'!$B:$B,'4. 광고 장부확인'!$A18)</f>
        <v/>
      </c>
      <c r="J24">
        <f>SUMIFS('2. 일별 광고 실적 입력'!$I:$I,'2. 일별 광고 실적 입력'!$C:$C,'4. 광고 장부확인'!J$3,'2. 일별 광고 실적 입력'!$B:$B,'4. 광고 장부확인'!$A18)</f>
        <v/>
      </c>
      <c r="K24">
        <f>SUMIFS('2. 일별 광고 실적 입력'!$I:$I,'2. 일별 광고 실적 입력'!$C:$C,'4. 광고 장부확인'!K$3,'2. 일별 광고 실적 입력'!$B:$B,'4. 광고 장부확인'!$A18)</f>
        <v/>
      </c>
      <c r="L24">
        <f>SUMIFS('2. 일별 광고 실적 입력'!$I:$I,'2. 일별 광고 실적 입력'!$C:$C,'4. 광고 장부확인'!L$3,'2. 일별 광고 실적 입력'!$B:$B,'4. 광고 장부확인'!$A18)</f>
        <v/>
      </c>
      <c r="M24">
        <f>SUMIFS('2. 일별 광고 실적 입력'!$I:$I,'2. 일별 광고 실적 입력'!$C:$C,'4. 광고 장부확인'!M$3,'2. 일별 광고 실적 입력'!$B:$B,'4. 광고 장부확인'!$A18)</f>
        <v/>
      </c>
      <c r="N24">
        <f>SUMIFS('2. 일별 광고 실적 입력'!$I:$I,'2. 일별 광고 실적 입력'!$C:$C,'4. 광고 장부확인'!N$3,'2. 일별 광고 실적 입력'!$B:$B,'4. 광고 장부확인'!$A18)</f>
        <v/>
      </c>
      <c r="O24">
        <f>SUMIFS('2. 일별 광고 실적 입력'!$I:$I,'2. 일별 광고 실적 입력'!$C:$C,'4. 광고 장부확인'!O$3,'2. 일별 광고 실적 입력'!$B:$B,'4. 광고 장부확인'!$A18)</f>
        <v/>
      </c>
      <c r="P24">
        <f>SUMIFS('2. 일별 광고 실적 입력'!$I:$I,'2. 일별 광고 실적 입력'!$C:$C,'4. 광고 장부확인'!P$3,'2. 일별 광고 실적 입력'!$B:$B,'4. 광고 장부확인'!$A18)</f>
        <v/>
      </c>
      <c r="Q24">
        <f>SUMIFS('2. 일별 광고 실적 입력'!$I:$I,'2. 일별 광고 실적 입력'!$C:$C,'4. 광고 장부확인'!Q$3,'2. 일별 광고 실적 입력'!$B:$B,'4. 광고 장부확인'!$A18)</f>
        <v/>
      </c>
      <c r="R24">
        <f>SUMIFS('2. 일별 광고 실적 입력'!$I:$I,'2. 일별 광고 실적 입력'!$C:$C,'4. 광고 장부확인'!R$3,'2. 일별 광고 실적 입력'!$B:$B,'4. 광고 장부확인'!$A18)</f>
        <v/>
      </c>
      <c r="S24">
        <f>SUMIFS('2. 일별 광고 실적 입력'!$I:$I,'2. 일별 광고 실적 입력'!$C:$C,'4. 광고 장부확인'!S$3,'2. 일별 광고 실적 입력'!$B:$B,'4. 광고 장부확인'!$A18)</f>
        <v/>
      </c>
      <c r="T24">
        <f>SUMIFS('2. 일별 광고 실적 입력'!$I:$I,'2. 일별 광고 실적 입력'!$C:$C,'4. 광고 장부확인'!T$3,'2. 일별 광고 실적 입력'!$B:$B,'4. 광고 장부확인'!$A18)</f>
        <v/>
      </c>
      <c r="U24">
        <f>SUMIFS('2. 일별 광고 실적 입력'!$I:$I,'2. 일별 광고 실적 입력'!$C:$C,'4. 광고 장부확인'!U$3,'2. 일별 광고 실적 입력'!$B:$B,'4. 광고 장부확인'!$A18)</f>
        <v/>
      </c>
      <c r="V24">
        <f>SUMIFS('2. 일별 광고 실적 입력'!$I:$I,'2. 일별 광고 실적 입력'!$C:$C,'4. 광고 장부확인'!V$3,'2. 일별 광고 실적 입력'!$B:$B,'4. 광고 장부확인'!$A18)</f>
        <v/>
      </c>
      <c r="W24">
        <f>SUMIFS('2. 일별 광고 실적 입력'!$I:$I,'2. 일별 광고 실적 입력'!$C:$C,'4. 광고 장부확인'!W$3,'2. 일별 광고 실적 입력'!$B:$B,'4. 광고 장부확인'!$A18)</f>
        <v/>
      </c>
      <c r="X24">
        <f>SUMIFS('2. 일별 광고 실적 입력'!$I:$I,'2. 일별 광고 실적 입력'!$C:$C,'4. 광고 장부확인'!X$3,'2. 일별 광고 실적 입력'!$B:$B,'4. 광고 장부확인'!$A18)</f>
        <v/>
      </c>
      <c r="Y24">
        <f>SUMIFS('2. 일별 광고 실적 입력'!$I:$I,'2. 일별 광고 실적 입력'!$C:$C,'4. 광고 장부확인'!Y$3,'2. 일별 광고 실적 입력'!$B:$B,'4. 광고 장부확인'!$A18)</f>
        <v/>
      </c>
      <c r="Z24">
        <f>SUMIFS('2. 일별 광고 실적 입력'!$I:$I,'2. 일별 광고 실적 입력'!$C:$C,'4. 광고 장부확인'!Z$3,'2. 일별 광고 실적 입력'!$B:$B,'4. 광고 장부확인'!$A18)</f>
        <v/>
      </c>
      <c r="AA24">
        <f>SUMIFS('2. 일별 광고 실적 입력'!$I:$I,'2. 일별 광고 실적 입력'!$C:$C,'4. 광고 장부확인'!AA$3,'2. 일별 광고 실적 입력'!$B:$B,'4. 광고 장부확인'!$A18)</f>
        <v/>
      </c>
      <c r="AB24">
        <f>SUMIFS('2. 일별 광고 실적 입력'!$I:$I,'2. 일별 광고 실적 입력'!$C:$C,'4. 광고 장부확인'!AB$3,'2. 일별 광고 실적 입력'!$B:$B,'4. 광고 장부확인'!$A18)</f>
        <v/>
      </c>
      <c r="AC24">
        <f>SUMIFS('2. 일별 광고 실적 입력'!$I:$I,'2. 일별 광고 실적 입력'!$C:$C,'4. 광고 장부확인'!AC$3,'2. 일별 광고 실적 입력'!$B:$B,'4. 광고 장부확인'!$A18)</f>
        <v/>
      </c>
      <c r="AD24">
        <f>SUMIFS('2. 일별 광고 실적 입력'!$I:$I,'2. 일별 광고 실적 입력'!$C:$C,'4. 광고 장부확인'!AD$3,'2. 일별 광고 실적 입력'!$B:$B,'4. 광고 장부확인'!$A18)</f>
        <v/>
      </c>
      <c r="AE24">
        <f>SUMIFS('2. 일별 광고 실적 입력'!$I:$I,'2. 일별 광고 실적 입력'!$C:$C,'4. 광고 장부확인'!AE$3,'2. 일별 광고 실적 입력'!$B:$B,'4. 광고 장부확인'!$A18)</f>
        <v/>
      </c>
      <c r="AF24">
        <f>SUMIFS('2. 일별 광고 실적 입력'!$I:$I,'2. 일별 광고 실적 입력'!$C:$C,'4. 광고 장부확인'!AF$3,'2. 일별 광고 실적 입력'!$B:$B,'4. 광고 장부확인'!$A18)</f>
        <v/>
      </c>
      <c r="AG24">
        <f>SUM(C24:AF24)</f>
        <v/>
      </c>
    </row>
    <row r="25">
      <c r="B25" t="inlineStr">
        <is>
          <t>전환율</t>
        </is>
      </c>
      <c r="C25">
        <f>SUMIFS('2. 일별 광고 실적 입력'!$H:$H,'2. 일별 광고 실적 입력'!$C:$C,'4. 광고 장부확인'!C$3,'2. 일별 광고 실적 입력'!$B:$B,'4. 광고 장부확인'!$A18)</f>
        <v/>
      </c>
      <c r="D25">
        <f>SUMIFS('2. 일별 광고 실적 입력'!$H:$H,'2. 일별 광고 실적 입력'!$C:$C,'4. 광고 장부확인'!D$3,'2. 일별 광고 실적 입력'!$B:$B,'4. 광고 장부확인'!$A18)</f>
        <v/>
      </c>
      <c r="E25">
        <f>SUMIFS('2. 일별 광고 실적 입력'!$H:$H,'2. 일별 광고 실적 입력'!$C:$C,'4. 광고 장부확인'!E$3,'2. 일별 광고 실적 입력'!$B:$B,'4. 광고 장부확인'!$A18)</f>
        <v/>
      </c>
      <c r="F25">
        <f>SUMIFS('2. 일별 광고 실적 입력'!$H:$H,'2. 일별 광고 실적 입력'!$C:$C,'4. 광고 장부확인'!F$3,'2. 일별 광고 실적 입력'!$B:$B,'4. 광고 장부확인'!$A18)</f>
        <v/>
      </c>
      <c r="G25">
        <f>SUMIFS('2. 일별 광고 실적 입력'!$H:$H,'2. 일별 광고 실적 입력'!$C:$C,'4. 광고 장부확인'!G$3,'2. 일별 광고 실적 입력'!$B:$B,'4. 광고 장부확인'!$A18)</f>
        <v/>
      </c>
      <c r="H25">
        <f>SUMIFS('2. 일별 광고 실적 입력'!$H:$H,'2. 일별 광고 실적 입력'!$C:$C,'4. 광고 장부확인'!H$3,'2. 일별 광고 실적 입력'!$B:$B,'4. 광고 장부확인'!$A18)</f>
        <v/>
      </c>
      <c r="I25">
        <f>SUMIFS('2. 일별 광고 실적 입력'!$H:$H,'2. 일별 광고 실적 입력'!$C:$C,'4. 광고 장부확인'!I$3,'2. 일별 광고 실적 입력'!$B:$B,'4. 광고 장부확인'!$A18)</f>
        <v/>
      </c>
      <c r="J25">
        <f>SUMIFS('2. 일별 광고 실적 입력'!$H:$H,'2. 일별 광고 실적 입력'!$C:$C,'4. 광고 장부확인'!J$3,'2. 일별 광고 실적 입력'!$B:$B,'4. 광고 장부확인'!$A18)</f>
        <v/>
      </c>
      <c r="K25">
        <f>SUMIFS('2. 일별 광고 실적 입력'!$H:$H,'2. 일별 광고 실적 입력'!$C:$C,'4. 광고 장부확인'!K$3,'2. 일별 광고 실적 입력'!$B:$B,'4. 광고 장부확인'!$A18)</f>
        <v/>
      </c>
      <c r="L25">
        <f>SUMIFS('2. 일별 광고 실적 입력'!$H:$H,'2. 일별 광고 실적 입력'!$C:$C,'4. 광고 장부확인'!L$3,'2. 일별 광고 실적 입력'!$B:$B,'4. 광고 장부확인'!$A18)</f>
        <v/>
      </c>
      <c r="M25">
        <f>SUMIFS('2. 일별 광고 실적 입력'!$H:$H,'2. 일별 광고 실적 입력'!$C:$C,'4. 광고 장부확인'!M$3,'2. 일별 광고 실적 입력'!$B:$B,'4. 광고 장부확인'!$A18)</f>
        <v/>
      </c>
      <c r="N25">
        <f>SUMIFS('2. 일별 광고 실적 입력'!$H:$H,'2. 일별 광고 실적 입력'!$C:$C,'4. 광고 장부확인'!N$3,'2. 일별 광고 실적 입력'!$B:$B,'4. 광고 장부확인'!$A18)</f>
        <v/>
      </c>
      <c r="O25">
        <f>SUMIFS('2. 일별 광고 실적 입력'!$H:$H,'2. 일별 광고 실적 입력'!$C:$C,'4. 광고 장부확인'!O$3,'2. 일별 광고 실적 입력'!$B:$B,'4. 광고 장부확인'!$A18)</f>
        <v/>
      </c>
      <c r="P25">
        <f>SUMIFS('2. 일별 광고 실적 입력'!$H:$H,'2. 일별 광고 실적 입력'!$C:$C,'4. 광고 장부확인'!P$3,'2. 일별 광고 실적 입력'!$B:$B,'4. 광고 장부확인'!$A18)</f>
        <v/>
      </c>
      <c r="Q25">
        <f>SUMIFS('2. 일별 광고 실적 입력'!$H:$H,'2. 일별 광고 실적 입력'!$C:$C,'4. 광고 장부확인'!Q$3,'2. 일별 광고 실적 입력'!$B:$B,'4. 광고 장부확인'!$A18)</f>
        <v/>
      </c>
      <c r="R25">
        <f>SUMIFS('2. 일별 광고 실적 입력'!$H:$H,'2. 일별 광고 실적 입력'!$C:$C,'4. 광고 장부확인'!R$3,'2. 일별 광고 실적 입력'!$B:$B,'4. 광고 장부확인'!$A18)</f>
        <v/>
      </c>
      <c r="S25">
        <f>SUMIFS('2. 일별 광고 실적 입력'!$H:$H,'2. 일별 광고 실적 입력'!$C:$C,'4. 광고 장부확인'!S$3,'2. 일별 광고 실적 입력'!$B:$B,'4. 광고 장부확인'!$A18)</f>
        <v/>
      </c>
      <c r="T25">
        <f>SUMIFS('2. 일별 광고 실적 입력'!$H:$H,'2. 일별 광고 실적 입력'!$C:$C,'4. 광고 장부확인'!T$3,'2. 일별 광고 실적 입력'!$B:$B,'4. 광고 장부확인'!$A18)</f>
        <v/>
      </c>
      <c r="U25">
        <f>SUMIFS('2. 일별 광고 실적 입력'!$H:$H,'2. 일별 광고 실적 입력'!$C:$C,'4. 광고 장부확인'!U$3,'2. 일별 광고 실적 입력'!$B:$B,'4. 광고 장부확인'!$A18)</f>
        <v/>
      </c>
      <c r="V25">
        <f>SUMIFS('2. 일별 광고 실적 입력'!$H:$H,'2. 일별 광고 실적 입력'!$C:$C,'4. 광고 장부확인'!V$3,'2. 일별 광고 실적 입력'!$B:$B,'4. 광고 장부확인'!$A18)</f>
        <v/>
      </c>
      <c r="W25">
        <f>SUMIFS('2. 일별 광고 실적 입력'!$H:$H,'2. 일별 광고 실적 입력'!$C:$C,'4. 광고 장부확인'!W$3,'2. 일별 광고 실적 입력'!$B:$B,'4. 광고 장부확인'!$A18)</f>
        <v/>
      </c>
      <c r="X25">
        <f>SUMIFS('2. 일별 광고 실적 입력'!$H:$H,'2. 일별 광고 실적 입력'!$C:$C,'4. 광고 장부확인'!X$3,'2. 일별 광고 실적 입력'!$B:$B,'4. 광고 장부확인'!$A18)</f>
        <v/>
      </c>
      <c r="Y25">
        <f>SUMIFS('2. 일별 광고 실적 입력'!$H:$H,'2. 일별 광고 실적 입력'!$C:$C,'4. 광고 장부확인'!Y$3,'2. 일별 광고 실적 입력'!$B:$B,'4. 광고 장부확인'!$A18)</f>
        <v/>
      </c>
      <c r="Z25">
        <f>SUMIFS('2. 일별 광고 실적 입력'!$H:$H,'2. 일별 광고 실적 입력'!$C:$C,'4. 광고 장부확인'!Z$3,'2. 일별 광고 실적 입력'!$B:$B,'4. 광고 장부확인'!$A18)</f>
        <v/>
      </c>
      <c r="AA25">
        <f>SUMIFS('2. 일별 광고 실적 입력'!$H:$H,'2. 일별 광고 실적 입력'!$C:$C,'4. 광고 장부확인'!AA$3,'2. 일별 광고 실적 입력'!$B:$B,'4. 광고 장부확인'!$A18)</f>
        <v/>
      </c>
      <c r="AB25">
        <f>SUMIFS('2. 일별 광고 실적 입력'!$H:$H,'2. 일별 광고 실적 입력'!$C:$C,'4. 광고 장부확인'!AB$3,'2. 일별 광고 실적 입력'!$B:$B,'4. 광고 장부확인'!$A18)</f>
        <v/>
      </c>
      <c r="AC25">
        <f>SUMIFS('2. 일별 광고 실적 입력'!$H:$H,'2. 일별 광고 실적 입력'!$C:$C,'4. 광고 장부확인'!AC$3,'2. 일별 광고 실적 입력'!$B:$B,'4. 광고 장부확인'!$A18)</f>
        <v/>
      </c>
      <c r="AD25">
        <f>SUMIFS('2. 일별 광고 실적 입력'!$H:$H,'2. 일별 광고 실적 입력'!$C:$C,'4. 광고 장부확인'!AD$3,'2. 일별 광고 실적 입력'!$B:$B,'4. 광고 장부확인'!$A18)</f>
        <v/>
      </c>
      <c r="AE25">
        <f>SUMIFS('2. 일별 광고 실적 입력'!$H:$H,'2. 일별 광고 실적 입력'!$C:$C,'4. 광고 장부확인'!AE$3,'2. 일별 광고 실적 입력'!$B:$B,'4. 광고 장부확인'!$A18)</f>
        <v/>
      </c>
      <c r="AF25">
        <f>SUMIFS('2. 일별 광고 실적 입력'!$H:$H,'2. 일별 광고 실적 입력'!$C:$C,'4. 광고 장부확인'!AF$3,'2. 일별 광고 실적 입력'!$B:$B,'4. 광고 장부확인'!$A18)</f>
        <v/>
      </c>
      <c r="AG25">
        <f>SUM(C25:AF25)</f>
        <v/>
      </c>
    </row>
    <row r="26">
      <c r="B26" t="inlineStr">
        <is>
          <t>광고 전환 판매 수</t>
        </is>
      </c>
      <c r="C26">
        <f>SUMIFS('2. 일별 광고 실적 입력'!$L:$L,'2. 일별 광고 실적 입력'!$C:$C,'4. 광고 장부확인'!C$3,'2. 일별 광고 실적 입력'!$B:$B,'4. 광고 장부확인'!$A18)</f>
        <v/>
      </c>
      <c r="D26">
        <f>SUMIFS('2. 일별 광고 실적 입력'!$L:$L,'2. 일별 광고 실적 입력'!$C:$C,'4. 광고 장부확인'!D$3,'2. 일별 광고 실적 입력'!$B:$B,'4. 광고 장부확인'!$A18)</f>
        <v/>
      </c>
      <c r="E26">
        <f>SUMIFS('2. 일별 광고 실적 입력'!$L:$L,'2. 일별 광고 실적 입력'!$C:$C,'4. 광고 장부확인'!E$3,'2. 일별 광고 실적 입력'!$B:$B,'4. 광고 장부확인'!$A18)</f>
        <v/>
      </c>
      <c r="F26">
        <f>SUMIFS('2. 일별 광고 실적 입력'!$L:$L,'2. 일별 광고 실적 입력'!$C:$C,'4. 광고 장부확인'!F$3,'2. 일별 광고 실적 입력'!$B:$B,'4. 광고 장부확인'!$A18)</f>
        <v/>
      </c>
      <c r="G26">
        <f>SUMIFS('2. 일별 광고 실적 입력'!$L:$L,'2. 일별 광고 실적 입력'!$C:$C,'4. 광고 장부확인'!G$3,'2. 일별 광고 실적 입력'!$B:$B,'4. 광고 장부확인'!$A18)</f>
        <v/>
      </c>
      <c r="H26">
        <f>SUMIFS('2. 일별 광고 실적 입력'!$L:$L,'2. 일별 광고 실적 입력'!$C:$C,'4. 광고 장부확인'!H$3,'2. 일별 광고 실적 입력'!$B:$B,'4. 광고 장부확인'!$A18)</f>
        <v/>
      </c>
      <c r="I26">
        <f>SUMIFS('2. 일별 광고 실적 입력'!$L:$L,'2. 일별 광고 실적 입력'!$C:$C,'4. 광고 장부확인'!I$3,'2. 일별 광고 실적 입력'!$B:$B,'4. 광고 장부확인'!$A18)</f>
        <v/>
      </c>
      <c r="J26">
        <f>SUMIFS('2. 일별 광고 실적 입력'!$L:$L,'2. 일별 광고 실적 입력'!$C:$C,'4. 광고 장부확인'!J$3,'2. 일별 광고 실적 입력'!$B:$B,'4. 광고 장부확인'!$A18)</f>
        <v/>
      </c>
      <c r="K26">
        <f>SUMIFS('2. 일별 광고 실적 입력'!$L:$L,'2. 일별 광고 실적 입력'!$C:$C,'4. 광고 장부확인'!K$3,'2. 일별 광고 실적 입력'!$B:$B,'4. 광고 장부확인'!$A18)</f>
        <v/>
      </c>
      <c r="L26">
        <f>SUMIFS('2. 일별 광고 실적 입력'!$L:$L,'2. 일별 광고 실적 입력'!$C:$C,'4. 광고 장부확인'!L$3,'2. 일별 광고 실적 입력'!$B:$B,'4. 광고 장부확인'!$A18)</f>
        <v/>
      </c>
      <c r="M26">
        <f>SUMIFS('2. 일별 광고 실적 입력'!$L:$L,'2. 일별 광고 실적 입력'!$C:$C,'4. 광고 장부확인'!M$3,'2. 일별 광고 실적 입력'!$B:$B,'4. 광고 장부확인'!$A18)</f>
        <v/>
      </c>
      <c r="N26">
        <f>SUMIFS('2. 일별 광고 실적 입력'!$L:$L,'2. 일별 광고 실적 입력'!$C:$C,'4. 광고 장부확인'!N$3,'2. 일별 광고 실적 입력'!$B:$B,'4. 광고 장부확인'!$A18)</f>
        <v/>
      </c>
      <c r="O26">
        <f>SUMIFS('2. 일별 광고 실적 입력'!$L:$L,'2. 일별 광고 실적 입력'!$C:$C,'4. 광고 장부확인'!O$3,'2. 일별 광고 실적 입력'!$B:$B,'4. 광고 장부확인'!$A18)</f>
        <v/>
      </c>
      <c r="P26">
        <f>SUMIFS('2. 일별 광고 실적 입력'!$L:$L,'2. 일별 광고 실적 입력'!$C:$C,'4. 광고 장부확인'!P$3,'2. 일별 광고 실적 입력'!$B:$B,'4. 광고 장부확인'!$A18)</f>
        <v/>
      </c>
      <c r="Q26">
        <f>SUMIFS('2. 일별 광고 실적 입력'!$L:$L,'2. 일별 광고 실적 입력'!$C:$C,'4. 광고 장부확인'!Q$3,'2. 일별 광고 실적 입력'!$B:$B,'4. 광고 장부확인'!$A18)</f>
        <v/>
      </c>
      <c r="R26">
        <f>SUMIFS('2. 일별 광고 실적 입력'!$L:$L,'2. 일별 광고 실적 입력'!$C:$C,'4. 광고 장부확인'!R$3,'2. 일별 광고 실적 입력'!$B:$B,'4. 광고 장부확인'!$A18)</f>
        <v/>
      </c>
      <c r="S26">
        <f>SUMIFS('2. 일별 광고 실적 입력'!$L:$L,'2. 일별 광고 실적 입력'!$C:$C,'4. 광고 장부확인'!S$3,'2. 일별 광고 실적 입력'!$B:$B,'4. 광고 장부확인'!$A18)</f>
        <v/>
      </c>
      <c r="T26">
        <f>SUMIFS('2. 일별 광고 실적 입력'!$L:$L,'2. 일별 광고 실적 입력'!$C:$C,'4. 광고 장부확인'!T$3,'2. 일별 광고 실적 입력'!$B:$B,'4. 광고 장부확인'!$A18)</f>
        <v/>
      </c>
      <c r="U26">
        <f>SUMIFS('2. 일별 광고 실적 입력'!$L:$L,'2. 일별 광고 실적 입력'!$C:$C,'4. 광고 장부확인'!U$3,'2. 일별 광고 실적 입력'!$B:$B,'4. 광고 장부확인'!$A18)</f>
        <v/>
      </c>
      <c r="V26">
        <f>SUMIFS('2. 일별 광고 실적 입력'!$L:$L,'2. 일별 광고 실적 입력'!$C:$C,'4. 광고 장부확인'!V$3,'2. 일별 광고 실적 입력'!$B:$B,'4. 광고 장부확인'!$A18)</f>
        <v/>
      </c>
      <c r="W26">
        <f>SUMIFS('2. 일별 광고 실적 입력'!$L:$L,'2. 일별 광고 실적 입력'!$C:$C,'4. 광고 장부확인'!W$3,'2. 일별 광고 실적 입력'!$B:$B,'4. 광고 장부확인'!$A18)</f>
        <v/>
      </c>
      <c r="X26">
        <f>SUMIFS('2. 일별 광고 실적 입력'!$L:$L,'2. 일별 광고 실적 입력'!$C:$C,'4. 광고 장부확인'!X$3,'2. 일별 광고 실적 입력'!$B:$B,'4. 광고 장부확인'!$A18)</f>
        <v/>
      </c>
      <c r="Y26">
        <f>SUMIFS('2. 일별 광고 실적 입력'!$L:$L,'2. 일별 광고 실적 입력'!$C:$C,'4. 광고 장부확인'!Y$3,'2. 일별 광고 실적 입력'!$B:$B,'4. 광고 장부확인'!$A18)</f>
        <v/>
      </c>
      <c r="Z26">
        <f>SUMIFS('2. 일별 광고 실적 입력'!$L:$L,'2. 일별 광고 실적 입력'!$C:$C,'4. 광고 장부확인'!Z$3,'2. 일별 광고 실적 입력'!$B:$B,'4. 광고 장부확인'!$A18)</f>
        <v/>
      </c>
      <c r="AA26">
        <f>SUMIFS('2. 일별 광고 실적 입력'!$L:$L,'2. 일별 광고 실적 입력'!$C:$C,'4. 광고 장부확인'!AA$3,'2. 일별 광고 실적 입력'!$B:$B,'4. 광고 장부확인'!$A18)</f>
        <v/>
      </c>
      <c r="AB26">
        <f>SUMIFS('2. 일별 광고 실적 입력'!$L:$L,'2. 일별 광고 실적 입력'!$C:$C,'4. 광고 장부확인'!AB$3,'2. 일별 광고 실적 입력'!$B:$B,'4. 광고 장부확인'!$A18)</f>
        <v/>
      </c>
      <c r="AC26">
        <f>SUMIFS('2. 일별 광고 실적 입력'!$L:$L,'2. 일별 광고 실적 입력'!$C:$C,'4. 광고 장부확인'!AC$3,'2. 일별 광고 실적 입력'!$B:$B,'4. 광고 장부확인'!$A18)</f>
        <v/>
      </c>
      <c r="AD26">
        <f>SUMIFS('2. 일별 광고 실적 입력'!$L:$L,'2. 일별 광고 실적 입력'!$C:$C,'4. 광고 장부확인'!AD$3,'2. 일별 광고 실적 입력'!$B:$B,'4. 광고 장부확인'!$A18)</f>
        <v/>
      </c>
      <c r="AE26">
        <f>SUMIFS('2. 일별 광고 실적 입력'!$L:$L,'2. 일별 광고 실적 입력'!$C:$C,'4. 광고 장부확인'!AE$3,'2. 일별 광고 실적 입력'!$B:$B,'4. 광고 장부확인'!$A18)</f>
        <v/>
      </c>
      <c r="AF26">
        <f>SUMIFS('2. 일별 광고 실적 입력'!$L:$L,'2. 일별 광고 실적 입력'!$C:$C,'4. 광고 장부확인'!AF$3,'2. 일별 광고 실적 입력'!$B:$B,'4. 광고 장부확인'!$A18)</f>
        <v/>
      </c>
      <c r="AG26">
        <f>SUM(C26:AF26)</f>
        <v/>
      </c>
    </row>
    <row r="27">
      <c r="B27" t="inlineStr">
        <is>
          <t>자연 판매 수</t>
        </is>
      </c>
      <c r="C27">
        <f>C28-C26</f>
        <v/>
      </c>
      <c r="D27">
        <f>D28-D26</f>
        <v/>
      </c>
      <c r="E27">
        <f>E28-E26</f>
        <v/>
      </c>
      <c r="F27">
        <f>F28-F26</f>
        <v/>
      </c>
      <c r="G27">
        <f>G28-G26</f>
        <v/>
      </c>
      <c r="H27">
        <f>H28-H26</f>
        <v/>
      </c>
      <c r="I27">
        <f>I28-I26</f>
        <v/>
      </c>
      <c r="J27">
        <f>J28-J26</f>
        <v/>
      </c>
      <c r="K27">
        <f>K28-K26</f>
        <v/>
      </c>
      <c r="L27">
        <f>L28-L26</f>
        <v/>
      </c>
      <c r="AG27">
        <f>SUM(C27:AF27)</f>
        <v/>
      </c>
    </row>
    <row r="28">
      <c r="B28" t="inlineStr">
        <is>
          <t>실제 판매 수</t>
        </is>
      </c>
      <c r="C28">
        <f>SUMIFS('3. 일별 매출 실적 입력'!$P:$P,'3. 일별 매출 실적 입력'!$Q:$Q,'4. 광고 장부확인'!$A18,'3. 일별 매출 실적 입력'!$B:$B,'4. 광고 장부확인'!C$3)</f>
        <v/>
      </c>
      <c r="D28">
        <f>SUMIFS('3. 일별 매출 실적 입력'!$P:$P,'3. 일별 매출 실적 입력'!$Q:$Q,'4. 광고 장부확인'!$A18,'3. 일별 매출 실적 입력'!$B:$B,'4. 광고 장부확인'!D$3)</f>
        <v/>
      </c>
      <c r="E28">
        <f>SUMIFS('3. 일별 매출 실적 입력'!$P:$P,'3. 일별 매출 실적 입력'!$Q:$Q,'4. 광고 장부확인'!$A18,'3. 일별 매출 실적 입력'!$B:$B,'4. 광고 장부확인'!E$3)</f>
        <v/>
      </c>
      <c r="F28">
        <f>SUMIFS('3. 일별 매출 실적 입력'!$P:$P,'3. 일별 매출 실적 입력'!$Q:$Q,'4. 광고 장부확인'!$A18,'3. 일별 매출 실적 입력'!$B:$B,'4. 광고 장부확인'!F$3)</f>
        <v/>
      </c>
      <c r="G28">
        <f>SUMIFS('3. 일별 매출 실적 입력'!$P:$P,'3. 일별 매출 실적 입력'!$Q:$Q,'4. 광고 장부확인'!$A18,'3. 일별 매출 실적 입력'!$B:$B,'4. 광고 장부확인'!G$3)</f>
        <v/>
      </c>
      <c r="H28">
        <f>SUMIFS('3. 일별 매출 실적 입력'!$P:$P,'3. 일별 매출 실적 입력'!$Q:$Q,'4. 광고 장부확인'!$A18,'3. 일별 매출 실적 입력'!$B:$B,'4. 광고 장부확인'!H$3)</f>
        <v/>
      </c>
      <c r="I28">
        <f>SUMIFS('3. 일별 매출 실적 입력'!$P:$P,'3. 일별 매출 실적 입력'!$Q:$Q,'4. 광고 장부확인'!$A18,'3. 일별 매출 실적 입력'!$B:$B,'4. 광고 장부확인'!I$3)</f>
        <v/>
      </c>
      <c r="J28">
        <f>SUMIFS('3. 일별 매출 실적 입력'!$P:$P,'3. 일별 매출 실적 입력'!$Q:$Q,'4. 광고 장부확인'!$A18,'3. 일별 매출 실적 입력'!$B:$B,'4. 광고 장부확인'!J$3)</f>
        <v/>
      </c>
      <c r="K28">
        <f>SUMIFS('3. 일별 매출 실적 입력'!$P:$P,'3. 일별 매출 실적 입력'!$Q:$Q,'4. 광고 장부확인'!$A18,'3. 일별 매출 실적 입력'!$B:$B,'4. 광고 장부확인'!K$3)</f>
        <v/>
      </c>
      <c r="L28">
        <f>SUMIFS('3. 일별 매출 실적 입력'!$P:$P,'3. 일별 매출 실적 입력'!$Q:$Q,'4. 광고 장부확인'!$A18,'3. 일별 매출 실적 입력'!$B:$B,'4. 광고 장부확인'!L$3)</f>
        <v/>
      </c>
      <c r="M28">
        <f>SUMIFS('3. 일별 매출 실적 입력'!$P:$P,'3. 일별 매출 실적 입력'!$Q:$Q,'4. 광고 장부확인'!$A18,'3. 일별 매출 실적 입력'!$B:$B,'4. 광고 장부확인'!M$3)</f>
        <v/>
      </c>
      <c r="N28">
        <f>SUMIFS('3. 일별 매출 실적 입력'!$P:$P,'3. 일별 매출 실적 입력'!$Q:$Q,'4. 광고 장부확인'!$A18,'3. 일별 매출 실적 입력'!$B:$B,'4. 광고 장부확인'!N$3)</f>
        <v/>
      </c>
      <c r="O28">
        <f>SUMIFS('3. 일별 매출 실적 입력'!$P:$P,'3. 일별 매출 실적 입력'!$Q:$Q,'4. 광고 장부확인'!$A18,'3. 일별 매출 실적 입력'!$B:$B,'4. 광고 장부확인'!O$3)</f>
        <v/>
      </c>
      <c r="P28">
        <f>SUMIFS('3. 일별 매출 실적 입력'!$P:$P,'3. 일별 매출 실적 입력'!$Q:$Q,'4. 광고 장부확인'!$A18,'3. 일별 매출 실적 입력'!$B:$B,'4. 광고 장부확인'!P$3)</f>
        <v/>
      </c>
      <c r="Q28">
        <f>SUMIFS('3. 일별 매출 실적 입력'!$P:$P,'3. 일별 매출 실적 입력'!$Q:$Q,'4. 광고 장부확인'!$A18,'3. 일별 매출 실적 입력'!$B:$B,'4. 광고 장부확인'!Q$3)</f>
        <v/>
      </c>
      <c r="R28">
        <f>SUMIFS('3. 일별 매출 실적 입력'!$P:$P,'3. 일별 매출 실적 입력'!$Q:$Q,'4. 광고 장부확인'!$A18,'3. 일별 매출 실적 입력'!$B:$B,'4. 광고 장부확인'!R$3)</f>
        <v/>
      </c>
      <c r="S28">
        <f>SUMIFS('3. 일별 매출 실적 입력'!$P:$P,'3. 일별 매출 실적 입력'!$Q:$Q,'4. 광고 장부확인'!$A18,'3. 일별 매출 실적 입력'!$B:$B,'4. 광고 장부확인'!S$3)</f>
        <v/>
      </c>
      <c r="T28">
        <f>SUMIFS('3. 일별 매출 실적 입력'!$P:$P,'3. 일별 매출 실적 입력'!$Q:$Q,'4. 광고 장부확인'!$A18,'3. 일별 매출 실적 입력'!$B:$B,'4. 광고 장부확인'!T$3)</f>
        <v/>
      </c>
      <c r="U28">
        <f>SUMIFS('3. 일별 매출 실적 입력'!$P:$P,'3. 일별 매출 실적 입력'!$Q:$Q,'4. 광고 장부확인'!$A18,'3. 일별 매출 실적 입력'!$B:$B,'4. 광고 장부확인'!U$3)</f>
        <v/>
      </c>
      <c r="V28">
        <f>SUMIFS('3. 일별 매출 실적 입력'!$P:$P,'3. 일별 매출 실적 입력'!$Q:$Q,'4. 광고 장부확인'!$A18,'3. 일별 매출 실적 입력'!$B:$B,'4. 광고 장부확인'!V$3)</f>
        <v/>
      </c>
      <c r="W28">
        <f>SUMIFS('3. 일별 매출 실적 입력'!$P:$P,'3. 일별 매출 실적 입력'!$Q:$Q,'4. 광고 장부확인'!$A18,'3. 일별 매출 실적 입력'!$B:$B,'4. 광고 장부확인'!W$3)</f>
        <v/>
      </c>
      <c r="X28">
        <f>SUMIFS('3. 일별 매출 실적 입력'!$P:$P,'3. 일별 매출 실적 입력'!$Q:$Q,'4. 광고 장부확인'!$A18,'3. 일별 매출 실적 입력'!$B:$B,'4. 광고 장부확인'!X$3)</f>
        <v/>
      </c>
      <c r="Y28">
        <f>SUMIFS('3. 일별 매출 실적 입력'!$P:$P,'3. 일별 매출 실적 입력'!$Q:$Q,'4. 광고 장부확인'!$A18,'3. 일별 매출 실적 입력'!$B:$B,'4. 광고 장부확인'!Y$3)</f>
        <v/>
      </c>
      <c r="Z28">
        <f>SUMIFS('3. 일별 매출 실적 입력'!$P:$P,'3. 일별 매출 실적 입력'!$Q:$Q,'4. 광고 장부확인'!$A18,'3. 일별 매출 실적 입력'!$B:$B,'4. 광고 장부확인'!Z$3)</f>
        <v/>
      </c>
      <c r="AA28">
        <f>SUMIFS('3. 일별 매출 실적 입력'!$P:$P,'3. 일별 매출 실적 입력'!$Q:$Q,'4. 광고 장부확인'!$A18,'3. 일별 매출 실적 입력'!$B:$B,'4. 광고 장부확인'!AA$3)</f>
        <v/>
      </c>
      <c r="AB28">
        <f>SUMIFS('3. 일별 매출 실적 입력'!$P:$P,'3. 일별 매출 실적 입력'!$Q:$Q,'4. 광고 장부확인'!$A18,'3. 일별 매출 실적 입력'!$B:$B,'4. 광고 장부확인'!AB$3)</f>
        <v/>
      </c>
      <c r="AC28">
        <f>SUMIFS('3. 일별 매출 실적 입력'!$P:$P,'3. 일별 매출 실적 입력'!$Q:$Q,'4. 광고 장부확인'!$A18,'3. 일별 매출 실적 입력'!$B:$B,'4. 광고 장부확인'!AC$3)</f>
        <v/>
      </c>
      <c r="AD28">
        <f>SUMIFS('3. 일별 매출 실적 입력'!$P:$P,'3. 일별 매출 실적 입력'!$Q:$Q,'4. 광고 장부확인'!$A18,'3. 일별 매출 실적 입력'!$B:$B,'4. 광고 장부확인'!AD$3)</f>
        <v/>
      </c>
      <c r="AE28">
        <f>SUMIFS('3. 일별 매출 실적 입력'!$P:$P,'3. 일별 매출 실적 입력'!$Q:$Q,'4. 광고 장부확인'!$A18,'3. 일별 매출 실적 입력'!$B:$B,'4. 광고 장부확인'!AE$3)</f>
        <v/>
      </c>
      <c r="AF28">
        <f>SUMIFS('3. 일별 매출 실적 입력'!$P:$P,'3. 일별 매출 실적 입력'!$Q:$Q,'4. 광고 장부확인'!$A18,'3. 일별 매출 실적 입력'!$B:$B,'4. 광고 장부확인'!AF$3)</f>
        <v/>
      </c>
      <c r="AG28">
        <f>SUM(C28:AF28)</f>
        <v/>
      </c>
    </row>
    <row r="29">
      <c r="B29" t="inlineStr">
        <is>
          <t>광고 마진</t>
        </is>
      </c>
      <c r="C29">
        <f>SUMIFS('3. 일별 매출 실적 입력'!$R:$R,'3. 일별 매출 실적 입력'!$Q:$Q,'4. 광고 장부확인'!$A18,'3. 일별 매출 실적 입력'!$B:$B,'4. 광고 장부확인'!C$3)</f>
        <v/>
      </c>
      <c r="D29">
        <f>SUMIFS('3. 일별 매출 실적 입력'!$R:$R,'3. 일별 매출 실적 입력'!$Q:$Q,'4. 광고 장부확인'!$A18,'3. 일별 매출 실적 입력'!$B:$B,'4. 광고 장부확인'!D$3)</f>
        <v/>
      </c>
      <c r="E29">
        <f>SUMIFS('3. 일별 매출 실적 입력'!$R:$R,'3. 일별 매출 실적 입력'!$Q:$Q,'4. 광고 장부확인'!$A18,'3. 일별 매출 실적 입력'!$B:$B,'4. 광고 장부확인'!E$3)</f>
        <v/>
      </c>
      <c r="F29">
        <f>SUMIFS('3. 일별 매출 실적 입력'!$R:$R,'3. 일별 매출 실적 입력'!$Q:$Q,'4. 광고 장부확인'!$A18,'3. 일별 매출 실적 입력'!$B:$B,'4. 광고 장부확인'!F$3)</f>
        <v/>
      </c>
      <c r="G29">
        <f>SUMIFS('3. 일별 매출 실적 입력'!$R:$R,'3. 일별 매출 실적 입력'!$Q:$Q,'4. 광고 장부확인'!$A18,'3. 일별 매출 실적 입력'!$B:$B,'4. 광고 장부확인'!G$3)</f>
        <v/>
      </c>
      <c r="H29">
        <f>SUMIFS('3. 일별 매출 실적 입력'!$R:$R,'3. 일별 매출 실적 입력'!$Q:$Q,'4. 광고 장부확인'!$A18,'3. 일별 매출 실적 입력'!$B:$B,'4. 광고 장부확인'!H$3)</f>
        <v/>
      </c>
      <c r="I29">
        <f>SUMIFS('3. 일별 매출 실적 입력'!$R:$R,'3. 일별 매출 실적 입력'!$Q:$Q,'4. 광고 장부확인'!$A18,'3. 일별 매출 실적 입력'!$B:$B,'4. 광고 장부확인'!I$3)</f>
        <v/>
      </c>
      <c r="J29">
        <f>SUMIFS('3. 일별 매출 실적 입력'!$R:$R,'3. 일별 매출 실적 입력'!$Q:$Q,'4. 광고 장부확인'!$A18,'3. 일별 매출 실적 입력'!$B:$B,'4. 광고 장부확인'!J$3)</f>
        <v/>
      </c>
      <c r="K29">
        <f>SUMIFS('3. 일별 매출 실적 입력'!$R:$R,'3. 일별 매출 실적 입력'!$Q:$Q,'4. 광고 장부확인'!$A18,'3. 일별 매출 실적 입력'!$B:$B,'4. 광고 장부확인'!K$3)</f>
        <v/>
      </c>
      <c r="L29">
        <f>SUMIFS('3. 일별 매출 실적 입력'!$R:$R,'3. 일별 매출 실적 입력'!$Q:$Q,'4. 광고 장부확인'!$A18,'3. 일별 매출 실적 입력'!$B:$B,'4. 광고 장부확인'!L$3)</f>
        <v/>
      </c>
      <c r="M29">
        <f>SUMIFS('3. 일별 매출 실적 입력'!$R:$R,'3. 일별 매출 실적 입력'!$Q:$Q,'4. 광고 장부확인'!$A18,'3. 일별 매출 실적 입력'!$B:$B,'4. 광고 장부확인'!M$3)</f>
        <v/>
      </c>
      <c r="N29">
        <f>SUMIFS('3. 일별 매출 실적 입력'!$R:$R,'3. 일별 매출 실적 입력'!$Q:$Q,'4. 광고 장부확인'!$A18,'3. 일별 매출 실적 입력'!$B:$B,'4. 광고 장부확인'!N$3)</f>
        <v/>
      </c>
      <c r="O29">
        <f>SUMIFS('3. 일별 매출 실적 입력'!$R:$R,'3. 일별 매출 실적 입력'!$Q:$Q,'4. 광고 장부확인'!$A18,'3. 일별 매출 실적 입력'!$B:$B,'4. 광고 장부확인'!O$3)</f>
        <v/>
      </c>
      <c r="P29">
        <f>SUMIFS('3. 일별 매출 실적 입력'!$R:$R,'3. 일별 매출 실적 입력'!$Q:$Q,'4. 광고 장부확인'!$A18,'3. 일별 매출 실적 입력'!$B:$B,'4. 광고 장부확인'!P$3)</f>
        <v/>
      </c>
      <c r="Q29">
        <f>SUMIFS('3. 일별 매출 실적 입력'!$R:$R,'3. 일별 매출 실적 입력'!$Q:$Q,'4. 광고 장부확인'!$A18,'3. 일별 매출 실적 입력'!$B:$B,'4. 광고 장부확인'!Q$3)</f>
        <v/>
      </c>
      <c r="R29">
        <f>SUMIFS('3. 일별 매출 실적 입력'!$R:$R,'3. 일별 매출 실적 입력'!$Q:$Q,'4. 광고 장부확인'!$A18,'3. 일별 매출 실적 입력'!$B:$B,'4. 광고 장부확인'!R$3)</f>
        <v/>
      </c>
      <c r="S29">
        <f>SUMIFS('3. 일별 매출 실적 입력'!$R:$R,'3. 일별 매출 실적 입력'!$Q:$Q,'4. 광고 장부확인'!$A18,'3. 일별 매출 실적 입력'!$B:$B,'4. 광고 장부확인'!S$3)</f>
        <v/>
      </c>
      <c r="T29">
        <f>SUMIFS('3. 일별 매출 실적 입력'!$R:$R,'3. 일별 매출 실적 입력'!$Q:$Q,'4. 광고 장부확인'!$A18,'3. 일별 매출 실적 입력'!$B:$B,'4. 광고 장부확인'!T$3)</f>
        <v/>
      </c>
      <c r="U29">
        <f>SUMIFS('3. 일별 매출 실적 입력'!$R:$R,'3. 일별 매출 실적 입력'!$Q:$Q,'4. 광고 장부확인'!$A18,'3. 일별 매출 실적 입력'!$B:$B,'4. 광고 장부확인'!U$3)</f>
        <v/>
      </c>
      <c r="V29">
        <f>SUMIFS('3. 일별 매출 실적 입력'!$R:$R,'3. 일별 매출 실적 입력'!$Q:$Q,'4. 광고 장부확인'!$A18,'3. 일별 매출 실적 입력'!$B:$B,'4. 광고 장부확인'!V$3)</f>
        <v/>
      </c>
      <c r="W29">
        <f>SUMIFS('3. 일별 매출 실적 입력'!$R:$R,'3. 일별 매출 실적 입력'!$Q:$Q,'4. 광고 장부확인'!$A18,'3. 일별 매출 실적 입력'!$B:$B,'4. 광고 장부확인'!W$3)</f>
        <v/>
      </c>
      <c r="X29">
        <f>SUMIFS('3. 일별 매출 실적 입력'!$R:$R,'3. 일별 매출 실적 입력'!$Q:$Q,'4. 광고 장부확인'!$A18,'3. 일별 매출 실적 입력'!$B:$B,'4. 광고 장부확인'!X$3)</f>
        <v/>
      </c>
      <c r="Y29">
        <f>SUMIFS('3. 일별 매출 실적 입력'!$R:$R,'3. 일별 매출 실적 입력'!$Q:$Q,'4. 광고 장부확인'!$A18,'3. 일별 매출 실적 입력'!$B:$B,'4. 광고 장부확인'!Y$3)</f>
        <v/>
      </c>
      <c r="Z29">
        <f>SUMIFS('3. 일별 매출 실적 입력'!$R:$R,'3. 일별 매출 실적 입력'!$Q:$Q,'4. 광고 장부확인'!$A18,'3. 일별 매출 실적 입력'!$B:$B,'4. 광고 장부확인'!Z$3)</f>
        <v/>
      </c>
      <c r="AA29">
        <f>SUMIFS('3. 일별 매출 실적 입력'!$R:$R,'3. 일별 매출 실적 입력'!$Q:$Q,'4. 광고 장부확인'!$A18,'3. 일별 매출 실적 입력'!$B:$B,'4. 광고 장부확인'!AA$3)</f>
        <v/>
      </c>
      <c r="AB29">
        <f>SUMIFS('3. 일별 매출 실적 입력'!$R:$R,'3. 일별 매출 실적 입력'!$Q:$Q,'4. 광고 장부확인'!$A18,'3. 일별 매출 실적 입력'!$B:$B,'4. 광고 장부확인'!AB$3)</f>
        <v/>
      </c>
      <c r="AC29">
        <f>SUMIFS('3. 일별 매출 실적 입력'!$R:$R,'3. 일별 매출 실적 입력'!$Q:$Q,'4. 광고 장부확인'!$A18,'3. 일별 매출 실적 입력'!$B:$B,'4. 광고 장부확인'!AC$3)</f>
        <v/>
      </c>
      <c r="AD29">
        <f>SUMIFS('3. 일별 매출 실적 입력'!$R:$R,'3. 일별 매출 실적 입력'!$Q:$Q,'4. 광고 장부확인'!$A18,'3. 일별 매출 실적 입력'!$B:$B,'4. 광고 장부확인'!AD$3)</f>
        <v/>
      </c>
      <c r="AE29">
        <f>SUMIFS('3. 일별 매출 실적 입력'!$R:$R,'3. 일별 매출 실적 입력'!$Q:$Q,'4. 광고 장부확인'!$A18,'3. 일별 매출 실적 입력'!$B:$B,'4. 광고 장부확인'!AE$3)</f>
        <v/>
      </c>
      <c r="AF29">
        <f>SUMIFS('3. 일별 매출 실적 입력'!$R:$R,'3. 일별 매출 실적 입력'!$Q:$Q,'4. 광고 장부확인'!$A18,'3. 일별 매출 실적 입력'!$B:$B,'4. 광고 장부확인'!AF$3)</f>
        <v/>
      </c>
      <c r="AG29">
        <f>SUM(C29:AF29)</f>
        <v/>
      </c>
    </row>
    <row r="30">
      <c r="B30" t="inlineStr">
        <is>
          <t>순이익 (광고비제외)</t>
        </is>
      </c>
      <c r="C30">
        <f>C29-C21</f>
        <v/>
      </c>
      <c r="D30">
        <f>D29-D21</f>
        <v/>
      </c>
      <c r="E30">
        <f>E29-E21</f>
        <v/>
      </c>
      <c r="F30">
        <f>F29-F21</f>
        <v/>
      </c>
      <c r="G30">
        <f>G29-G21</f>
        <v/>
      </c>
      <c r="H30">
        <f>H29-H21</f>
        <v/>
      </c>
      <c r="I30">
        <f>I29-I21</f>
        <v/>
      </c>
      <c r="J30">
        <f>J29-J21</f>
        <v/>
      </c>
      <c r="K30">
        <f>K29-K21</f>
        <v/>
      </c>
      <c r="L30">
        <f>L29-L21</f>
        <v/>
      </c>
      <c r="M30">
        <f>M29-M21</f>
        <v/>
      </c>
      <c r="N30">
        <f>N29-N21</f>
        <v/>
      </c>
      <c r="O30">
        <f>O29-O21</f>
        <v/>
      </c>
      <c r="P30">
        <f>P29-P21</f>
        <v/>
      </c>
      <c r="Q30">
        <f>Q29-Q21</f>
        <v/>
      </c>
      <c r="R30">
        <f>R29-R21</f>
        <v/>
      </c>
      <c r="S30">
        <f>S29-S21</f>
        <v/>
      </c>
      <c r="T30">
        <f>T29-T21</f>
        <v/>
      </c>
      <c r="U30">
        <f>U29-U21</f>
        <v/>
      </c>
      <c r="V30">
        <f>V29-V21</f>
        <v/>
      </c>
      <c r="W30">
        <f>W29-W21</f>
        <v/>
      </c>
      <c r="X30">
        <f>X29-X21</f>
        <v/>
      </c>
      <c r="Y30">
        <f>Y29-Y21</f>
        <v/>
      </c>
      <c r="Z30">
        <f>Z29-Z21</f>
        <v/>
      </c>
      <c r="AA30">
        <f>AA29-AA21</f>
        <v/>
      </c>
      <c r="AB30">
        <f>AB29-AB21</f>
        <v/>
      </c>
      <c r="AC30">
        <f>AC29-AC21</f>
        <v/>
      </c>
      <c r="AD30">
        <f>AD29-AD21</f>
        <v/>
      </c>
      <c r="AE30">
        <f>AE29-AE21</f>
        <v/>
      </c>
      <c r="AF30">
        <f>AF29-AF21</f>
        <v/>
      </c>
      <c r="AG30">
        <f>SUM(C30:AF30)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사입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2026-09-29T17:48:47Z</dcterms:created>
  <dcterms:modified xsi:type="dcterms:W3CDTF">2026-09-29T17:48:47Z</dcterms:modified>
</cp:coreProperties>
</file>